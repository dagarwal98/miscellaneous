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folder\Videos\Excel Dashboard\"/>
    </mc:Choice>
  </mc:AlternateContent>
  <xr:revisionPtr revIDLastSave="0" documentId="13_ncr:1_{57E2DFA8-4472-46A3-A595-53915A5F1C5C}" xr6:coauthVersionLast="44" xr6:coauthVersionMax="44" xr10:uidLastSave="{00000000-0000-0000-0000-000000000000}"/>
  <bookViews>
    <workbookView xWindow="-120" yWindow="-120" windowWidth="38640" windowHeight="21240" activeTab="1" xr2:uid="{057FB8B0-0FC5-4730-A479-EB646DDEA435}"/>
  </bookViews>
  <sheets>
    <sheet name="info" sheetId="4" r:id="rId1"/>
    <sheet name="data" sheetId="3" r:id="rId2"/>
    <sheet name="Chart1" sheetId="6" r:id="rId3"/>
    <sheet name="Chart2" sheetId="7" r:id="rId4"/>
    <sheet name="Sheet3" sheetId="5" r:id="rId5"/>
    <sheet name="Sheet1" sheetId="1" r:id="rId6"/>
  </sheets>
  <functionGroups builtInGroupCount="19"/>
  <definedNames>
    <definedName name="ExternalData_1" localSheetId="1" hidden="1">data!$A$1:$D$156</definedName>
  </definedNames>
  <calcPr calcId="191029"/>
  <pivotCaches>
    <pivotCache cacheId="1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" i="1" l="1"/>
  <c r="A11" i="1"/>
  <c r="A10" i="1"/>
  <c r="A9" i="1"/>
  <c r="A8" i="1"/>
  <c r="A7" i="1"/>
  <c r="A6" i="1"/>
  <c r="A5" i="1"/>
  <c r="A4" i="1"/>
  <c r="A3" i="1"/>
  <c r="D14" i="1" l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D1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E3A049-DE81-4411-BDA0-01FAABD98B14}" keepAlive="1" interval="1" name="Query - car_sales" description="Connection to the 'car_sales' query in the workbook." type="5" refreshedVersion="6" background="1" saveData="1">
    <dbPr connection="Provider=Microsoft.Mashup.OleDb.1;Data Source=$Workbook$;Location=car_sales;Extended Properties=&quot;&quot;" command="SELECT * FROM [car_sales]"/>
  </connection>
</connections>
</file>

<file path=xl/sharedStrings.xml><?xml version="1.0" encoding="utf-8"?>
<sst xmlns="http://schemas.openxmlformats.org/spreadsheetml/2006/main" count="509" uniqueCount="200">
  <si>
    <t>manufacturer</t>
  </si>
  <si>
    <t>model</t>
  </si>
  <si>
    <t>sales</t>
  </si>
  <si>
    <t>vehicle_type</t>
  </si>
  <si>
    <t>Mitsubishi</t>
  </si>
  <si>
    <t>3000GT</t>
  </si>
  <si>
    <t>Passenger_x000D_</t>
  </si>
  <si>
    <t>Dodge</t>
  </si>
  <si>
    <t>Viper</t>
  </si>
  <si>
    <t>Mercedes-B</t>
  </si>
  <si>
    <t>CL500</t>
  </si>
  <si>
    <t>Oldsmobile</t>
  </si>
  <si>
    <t>Cutlass</t>
  </si>
  <si>
    <t>Porsche</t>
  </si>
  <si>
    <t>Carrera Coupe</t>
  </si>
  <si>
    <t>Audi</t>
  </si>
  <si>
    <t>A8</t>
  </si>
  <si>
    <t>SLK230</t>
  </si>
  <si>
    <t>Carrera Cabrio</t>
  </si>
  <si>
    <t>Plymouth</t>
  </si>
  <si>
    <t>Prowler</t>
  </si>
  <si>
    <t>SL-Class</t>
  </si>
  <si>
    <t>Lexus</t>
  </si>
  <si>
    <t>GS400</t>
  </si>
  <si>
    <t>Volvo</t>
  </si>
  <si>
    <t>C70</t>
  </si>
  <si>
    <t>V40</t>
  </si>
  <si>
    <t>Avenger</t>
  </si>
  <si>
    <t>Saturn</t>
  </si>
  <si>
    <t>SW</t>
  </si>
  <si>
    <t>Breeze</t>
  </si>
  <si>
    <t>Volkswagen</t>
  </si>
  <si>
    <t>GTI</t>
  </si>
  <si>
    <t>Diamante</t>
  </si>
  <si>
    <t>LS400</t>
  </si>
  <si>
    <t>Cadillac</t>
  </si>
  <si>
    <t>Eldorado</t>
  </si>
  <si>
    <t>Chrysler</t>
  </si>
  <si>
    <t>Sebring Coupe</t>
  </si>
  <si>
    <t>SLK</t>
  </si>
  <si>
    <t>LW</t>
  </si>
  <si>
    <t>Acura</t>
  </si>
  <si>
    <t>RL</t>
  </si>
  <si>
    <t>Boxter</t>
  </si>
  <si>
    <t>LX470</t>
  </si>
  <si>
    <t>Car_x000D_</t>
  </si>
  <si>
    <t>BMW</t>
  </si>
  <si>
    <t>328i</t>
  </si>
  <si>
    <t>Cabrio</t>
  </si>
  <si>
    <t>Golf</t>
  </si>
  <si>
    <t>Toyota</t>
  </si>
  <si>
    <t>Land Cruiser</t>
  </si>
  <si>
    <t>Catera</t>
  </si>
  <si>
    <t>Montero</t>
  </si>
  <si>
    <t>CLK Coupe</t>
  </si>
  <si>
    <t>GS300</t>
  </si>
  <si>
    <t>Honda</t>
  </si>
  <si>
    <t>Passport</t>
  </si>
  <si>
    <t>LHS</t>
  </si>
  <si>
    <t>Lincoln</t>
  </si>
  <si>
    <t>Continental</t>
  </si>
  <si>
    <t>CL</t>
  </si>
  <si>
    <t>Mercury</t>
  </si>
  <si>
    <t>Mystique</t>
  </si>
  <si>
    <t>Aurora</t>
  </si>
  <si>
    <t>Escalade</t>
  </si>
  <si>
    <t>S70</t>
  </si>
  <si>
    <t>Jaguar</t>
  </si>
  <si>
    <t>S-Type</t>
  </si>
  <si>
    <t>Seville</t>
  </si>
  <si>
    <t>Ram Wagon</t>
  </si>
  <si>
    <t>S-Class</t>
  </si>
  <si>
    <t>Integra</t>
  </si>
  <si>
    <t>S40</t>
  </si>
  <si>
    <t>528i</t>
  </si>
  <si>
    <t>V70</t>
  </si>
  <si>
    <t>Chevrolet</t>
  </si>
  <si>
    <t>Corvette</t>
  </si>
  <si>
    <t>C-Class</t>
  </si>
  <si>
    <t>A6</t>
  </si>
  <si>
    <t>S80</t>
  </si>
  <si>
    <t>323i</t>
  </si>
  <si>
    <t>Pontiac</t>
  </si>
  <si>
    <t>Firebird</t>
  </si>
  <si>
    <t>Bravada</t>
  </si>
  <si>
    <t>Villager</t>
  </si>
  <si>
    <t>A4</t>
  </si>
  <si>
    <t>Metro</t>
  </si>
  <si>
    <t>Navigator</t>
  </si>
  <si>
    <t>Infiniti</t>
  </si>
  <si>
    <t>I30</t>
  </si>
  <si>
    <t>ES300</t>
  </si>
  <si>
    <t>Voyager</t>
  </si>
  <si>
    <t>Silhouette</t>
  </si>
  <si>
    <t>SC</t>
  </si>
  <si>
    <t>Lumina</t>
  </si>
  <si>
    <t>RAV4</t>
  </si>
  <si>
    <t>Mirage</t>
  </si>
  <si>
    <t>Camaro</t>
  </si>
  <si>
    <t>Cougar</t>
  </si>
  <si>
    <t>Nissan</t>
  </si>
  <si>
    <t>Quest</t>
  </si>
  <si>
    <t>E-Class</t>
  </si>
  <si>
    <t>Mountaineer</t>
  </si>
  <si>
    <t>Buick</t>
  </si>
  <si>
    <t>Park Avenue</t>
  </si>
  <si>
    <t>M-Class</t>
  </si>
  <si>
    <t>Hyundai</t>
  </si>
  <si>
    <t>Sonata</t>
  </si>
  <si>
    <t>300M</t>
  </si>
  <si>
    <t>Ram Van</t>
  </si>
  <si>
    <t>Concorde</t>
  </si>
  <si>
    <t>Prizm</t>
  </si>
  <si>
    <t>Cirrus</t>
  </si>
  <si>
    <t>Neon</t>
  </si>
  <si>
    <t>Sebring Conv.</t>
  </si>
  <si>
    <t>Subaru</t>
  </si>
  <si>
    <t>Forester</t>
  </si>
  <si>
    <t>Celica</t>
  </si>
  <si>
    <t>Ford</t>
  </si>
  <si>
    <t>Contour</t>
  </si>
  <si>
    <t>Bonneville</t>
  </si>
  <si>
    <t>Intrigue</t>
  </si>
  <si>
    <t>Montero Sport</t>
  </si>
  <si>
    <t>Regal</t>
  </si>
  <si>
    <t>TL</t>
  </si>
  <si>
    <t>Montana</t>
  </si>
  <si>
    <t>Accent</t>
  </si>
  <si>
    <t>Eclipse</t>
  </si>
  <si>
    <t>Pathfinder</t>
  </si>
  <si>
    <t>Monte Carlo</t>
  </si>
  <si>
    <t>Sentra</t>
  </si>
  <si>
    <t>Outback</t>
  </si>
  <si>
    <t>Town car</t>
  </si>
  <si>
    <t>Beetle</t>
  </si>
  <si>
    <t>LS</t>
  </si>
  <si>
    <t>Passat</t>
  </si>
  <si>
    <t>RX300</t>
  </si>
  <si>
    <t>Sunfire</t>
  </si>
  <si>
    <t>Town &amp; Country</t>
  </si>
  <si>
    <t>Xterra</t>
  </si>
  <si>
    <t>Jeep</t>
  </si>
  <si>
    <t>Wrangler</t>
  </si>
  <si>
    <t>Galant</t>
  </si>
  <si>
    <t>Crown Victoria</t>
  </si>
  <si>
    <t>DeVille</t>
  </si>
  <si>
    <t>Avalon</t>
  </si>
  <si>
    <t>Frontier</t>
  </si>
  <si>
    <t>Sienna</t>
  </si>
  <si>
    <t>Elantra</t>
  </si>
  <si>
    <t>Sable</t>
  </si>
  <si>
    <t>4Runner</t>
  </si>
  <si>
    <t>Escort</t>
  </si>
  <si>
    <t>Stratus</t>
  </si>
  <si>
    <t>CR-V</t>
  </si>
  <si>
    <t>Odyssey</t>
  </si>
  <si>
    <t>Maxima</t>
  </si>
  <si>
    <t>Alero</t>
  </si>
  <si>
    <t>Cherokee</t>
  </si>
  <si>
    <t>SL</t>
  </si>
  <si>
    <t>Grand Marquis</t>
  </si>
  <si>
    <t>LeSabre</t>
  </si>
  <si>
    <t>Jetta</t>
  </si>
  <si>
    <t>Tacoma</t>
  </si>
  <si>
    <t>Intrepid</t>
  </si>
  <si>
    <t>Altima</t>
  </si>
  <si>
    <t>Century</t>
  </si>
  <si>
    <t>Grand Prix</t>
  </si>
  <si>
    <t>Durango</t>
  </si>
  <si>
    <t>Impala</t>
  </si>
  <si>
    <t>Dakota</t>
  </si>
  <si>
    <t>Mustang</t>
  </si>
  <si>
    <t>Expedition</t>
  </si>
  <si>
    <t>Grand Am</t>
  </si>
  <si>
    <t>Malibu</t>
  </si>
  <si>
    <t>Corolla</t>
  </si>
  <si>
    <t>Cavalier</t>
  </si>
  <si>
    <t>Windstar</t>
  </si>
  <si>
    <t>Grand Cherokee</t>
  </si>
  <si>
    <t>Focus</t>
  </si>
  <si>
    <t>Caravan</t>
  </si>
  <si>
    <t>Civic</t>
  </si>
  <si>
    <t>Ranger</t>
  </si>
  <si>
    <t>Ram Pickup</t>
  </si>
  <si>
    <t>Accord</t>
  </si>
  <si>
    <t>Taurus</t>
  </si>
  <si>
    <t>Camry</t>
  </si>
  <si>
    <t>Explorer</t>
  </si>
  <si>
    <t>F-Series</t>
  </si>
  <si>
    <t>Low</t>
  </si>
  <si>
    <t>High</t>
  </si>
  <si>
    <t>Sales (thousands)</t>
  </si>
  <si>
    <t># of Models</t>
  </si>
  <si>
    <t># of Models:</t>
  </si>
  <si>
    <t xml:space="preserve">Total Sales: </t>
  </si>
  <si>
    <t>Row Labels</t>
  </si>
  <si>
    <t>Grand Total</t>
  </si>
  <si>
    <t>Sum of sales</t>
  </si>
  <si>
    <t>Sheet switching time (seconds)</t>
  </si>
  <si>
    <t>Enter rotation time in cell B1 in seconds &gt;= 5 and &lt; 60. If it is less than 5, the program will set it to 5 seconds. If it is more than 59 seconds, it will be set to 59.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</si>
</sst>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NumberFormat="1"/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3A12482-F27D-4130-BA6E-AD058F95B21F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chartsheet" Target="chartsheets/sheet1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[Car_Sales_Dashboard.xlsm]Sheet3!PivotTable2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Vehicles Sold by Manufacturers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Sheet3!$A$4:$A$33</c:f>
              <c:strCache>
                <c:ptCount val="29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Saturn</c:v>
                </c:pt>
                <c:pt idx="25">
                  <c:v>Subaru</c:v>
                </c:pt>
                <c:pt idx="26">
                  <c:v>Toyota</c:v>
                </c:pt>
                <c:pt idx="27">
                  <c:v>Volkswagen</c:v>
                </c:pt>
                <c:pt idx="28">
                  <c:v>Volvo</c:v>
                </c:pt>
              </c:strCache>
            </c:strRef>
          </c:cat>
          <c:val>
            <c:numRef>
              <c:f>Sheet3!$B$4:$B$33</c:f>
              <c:numCache>
                <c:formatCode>General</c:formatCode>
                <c:ptCount val="29"/>
                <c:pt idx="0">
                  <c:v>79005</c:v>
                </c:pt>
                <c:pt idx="1">
                  <c:v>40557</c:v>
                </c:pt>
                <c:pt idx="2">
                  <c:v>46505</c:v>
                </c:pt>
                <c:pt idx="3">
                  <c:v>242019</c:v>
                </c:pt>
                <c:pt idx="4">
                  <c:v>112178</c:v>
                </c:pt>
                <c:pt idx="5">
                  <c:v>554365</c:v>
                </c:pt>
                <c:pt idx="6">
                  <c:v>201721</c:v>
                </c:pt>
                <c:pt idx="7">
                  <c:v>910149</c:v>
                </c:pt>
                <c:pt idx="8">
                  <c:v>2022635</c:v>
                </c:pt>
                <c:pt idx="9">
                  <c:v>592674</c:v>
                </c:pt>
                <c:pt idx="10">
                  <c:v>137326</c:v>
                </c:pt>
                <c:pt idx="11">
                  <c:v>23713</c:v>
                </c:pt>
                <c:pt idx="12">
                  <c:v>15467</c:v>
                </c:pt>
                <c:pt idx="13">
                  <c:v>293153</c:v>
                </c:pt>
                <c:pt idx="14">
                  <c:v>106843</c:v>
                </c:pt>
                <c:pt idx="15">
                  <c:v>85634</c:v>
                </c:pt>
                <c:pt idx="16">
                  <c:v>117125</c:v>
                </c:pt>
                <c:pt idx="17">
                  <c:v>237999</c:v>
                </c:pt>
                <c:pt idx="18">
                  <c:v>180895</c:v>
                </c:pt>
                <c:pt idx="19">
                  <c:v>399635</c:v>
                </c:pt>
                <c:pt idx="20">
                  <c:v>178989</c:v>
                </c:pt>
                <c:pt idx="21">
                  <c:v>64001</c:v>
                </c:pt>
                <c:pt idx="22">
                  <c:v>370534</c:v>
                </c:pt>
                <c:pt idx="23">
                  <c:v>12128</c:v>
                </c:pt>
                <c:pt idx="24">
                  <c:v>168850</c:v>
                </c:pt>
                <c:pt idx="25">
                  <c:v>80135</c:v>
                </c:pt>
                <c:pt idx="26">
                  <c:v>740205</c:v>
                </c:pt>
                <c:pt idx="27">
                  <c:v>209212</c:v>
                </c:pt>
                <c:pt idx="28">
                  <c:v>75740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E-4E13-8524-9DB7C8D586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83682335"/>
        <c:axId val="1181523455"/>
      </c:barChart>
      <c:catAx>
        <c:axId val="11836823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Manufacturers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523455"/>
        <c:crosses val="autoZero"/>
        <c:auto val="1"/>
        <c:lblAlgn val="ctr"/>
        <c:lblOffset val="100"/>
        <c:noMultiLvlLbl val="0"/>
      </c:catAx>
      <c:valAx>
        <c:axId val="1181523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68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Sales by Models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850430621028328E-2"/>
          <c:y val="0.18231682988474346"/>
          <c:w val="0.91687135808522557"/>
          <c:h val="0.708248011264841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Sheet1!$C$2:$C$12</c:f>
              <c:strCache>
                <c:ptCount val="11"/>
                <c:pt idx="0">
                  <c:v>0  to  10</c:v>
                </c:pt>
                <c:pt idx="1">
                  <c:v>10  to  20</c:v>
                </c:pt>
                <c:pt idx="2">
                  <c:v>20  to  30</c:v>
                </c:pt>
                <c:pt idx="3">
                  <c:v>30  to  40</c:v>
                </c:pt>
                <c:pt idx="4">
                  <c:v>40  to  50</c:v>
                </c:pt>
                <c:pt idx="5">
                  <c:v>50  to  60</c:v>
                </c:pt>
                <c:pt idx="6">
                  <c:v>60  to  70</c:v>
                </c:pt>
                <c:pt idx="7">
                  <c:v>70  to  80</c:v>
                </c:pt>
                <c:pt idx="8">
                  <c:v>80  to  90</c:v>
                </c:pt>
                <c:pt idx="9">
                  <c:v>90  to  100</c:v>
                </c:pt>
                <c:pt idx="10">
                  <c:v>100  to  1000</c:v>
                </c:pt>
              </c:strCache>
            </c:strRef>
          </c:cat>
          <c:val>
            <c:numRef>
              <c:f>Sheet1!$D$2:$D$12</c:f>
              <c:numCache>
                <c:formatCode>General</c:formatCode>
                <c:ptCount val="11"/>
                <c:pt idx="0">
                  <c:v>30</c:v>
                </c:pt>
                <c:pt idx="1">
                  <c:v>26</c:v>
                </c:pt>
                <c:pt idx="2">
                  <c:v>21</c:v>
                </c:pt>
                <c:pt idx="3">
                  <c:v>16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2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6-48B4-8437-9BCE8FABDF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7842175"/>
        <c:axId val="1181519295"/>
      </c:barChart>
      <c:catAx>
        <c:axId val="1187842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519295"/>
        <c:crosses val="autoZero"/>
        <c:auto val="1"/>
        <c:lblAlgn val="ctr"/>
        <c:lblOffset val="100"/>
        <c:noMultiLvlLbl val="0"/>
      </c:catAx>
      <c:valAx>
        <c:axId val="118151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Models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8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D1229E1-2B81-445A-9549-7467F48F59AE}">
  <sheetPr codeName="Chart4"/>
  <sheetViews>
    <sheetView zoomScale="1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BF41CA-9930-45FC-A6C5-409AF9F97343}">
  <sheetPr codeName="Chart5"/>
  <sheetViews>
    <sheetView zoomScale="17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14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1FE412-5C37-4E90-BCDE-6D8992BAE4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14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3729BA-3488-4072-9AC9-E871BD0B96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0.06009</cdr:x>
      <cdr:y>0.08864</cdr:y>
    </cdr:from>
    <cdr:to>
      <cdr:x>0.34621</cdr:x>
      <cdr:y>0.15356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DEEB2A-2606-4BB4-AB00-50ABCA3970E2}"/>
            </a:ext>
          </a:extLst>
        </cdr:cNvPr>
        <cdr:cNvSpPr txBox="1"/>
      </cdr:nvSpPr>
      <cdr:spPr>
        <a:xfrm xmlns:a="http://schemas.openxmlformats.org/drawingml/2006/main">
          <a:off x="400051" y="338139"/>
          <a:ext cx="19050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0.07325</cdr:x>
      <cdr:y>0.10721</cdr:y>
    </cdr:from>
    <cdr:to>
      <cdr:x>0.17314</cdr:x>
      <cdr:y>0.15527</cdr:y>
    </cdr:to>
    <cdr:sp macro="" textlink="Sheet1!$C$1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073CC8F-CCE8-4CFC-8F9C-059402254053}"/>
            </a:ext>
          </a:extLst>
        </cdr:cNvPr>
        <cdr:cNvSpPr txBox="1"/>
      </cdr:nvSpPr>
      <cdr:spPr>
        <a:xfrm xmlns:a="http://schemas.openxmlformats.org/drawingml/2006/main">
          <a:off x="628649" y="552449"/>
          <a:ext cx="8572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1898C9D-7CAC-4799-AE82-BF2A00658E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 of Models:</a:t>
          </a:fld>
          <a:endParaRPr lang="en-US" sz="1100"/>
        </a:p>
      </cdr:txBody>
    </cdr:sp>
  </cdr:relSizeAnchor>
  <cdr:relSizeAnchor xmlns:cdr="http://schemas.openxmlformats.org/drawingml/2006/chartDrawing">
    <cdr:from>
      <cdr:x>0.15862</cdr:x>
      <cdr:y>0.10913</cdr:y>
    </cdr:from>
    <cdr:to>
      <cdr:x>0.26517</cdr:x>
      <cdr:y>0.16273</cdr:y>
    </cdr:to>
    <cdr:sp macro="" textlink="Sheet1!$D$13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31561E2E-391F-42AA-9867-D57E48A858A7}"/>
            </a:ext>
          </a:extLst>
        </cdr:cNvPr>
        <cdr:cNvSpPr txBox="1"/>
      </cdr:nvSpPr>
      <cdr:spPr>
        <a:xfrm xmlns:a="http://schemas.openxmlformats.org/drawingml/2006/main">
          <a:off x="1374845" y="686765"/>
          <a:ext cx="923498" cy="337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7E33EF3-BB98-422A-A84B-3869993315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155</a:t>
          </a:fld>
          <a:endParaRPr lang="en-US" sz="1100"/>
        </a:p>
      </cdr:txBody>
    </cdr:sp>
  </cdr:relSizeAnchor>
  <cdr:relSizeAnchor xmlns:cdr="http://schemas.openxmlformats.org/drawingml/2006/chartDrawing">
    <cdr:from>
      <cdr:x>0.68479</cdr:x>
      <cdr:y>0.1146</cdr:y>
    </cdr:from>
    <cdr:to>
      <cdr:x>0.77691</cdr:x>
      <cdr:y>0.16266</cdr:y>
    </cdr:to>
    <cdr:sp macro="" textlink="Sheet1!$C$14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44B663CB-74AD-4485-97A2-9CF4B5DA97E1}"/>
            </a:ext>
          </a:extLst>
        </cdr:cNvPr>
        <cdr:cNvSpPr txBox="1"/>
      </cdr:nvSpPr>
      <cdr:spPr>
        <a:xfrm xmlns:a="http://schemas.openxmlformats.org/drawingml/2006/main">
          <a:off x="5876924" y="590549"/>
          <a:ext cx="79057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0243E11-0D80-4D41-BB8D-E680E8C0508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 Sales: </a:t>
          </a:fld>
          <a:endParaRPr lang="en-US" sz="1100"/>
        </a:p>
      </cdr:txBody>
    </cdr:sp>
  </cdr:relSizeAnchor>
  <cdr:relSizeAnchor xmlns:cdr="http://schemas.openxmlformats.org/drawingml/2006/chartDrawing">
    <cdr:from>
      <cdr:x>0.76471</cdr:x>
      <cdr:y>0.1146</cdr:y>
    </cdr:from>
    <cdr:to>
      <cdr:x>0.87125</cdr:x>
      <cdr:y>0.17006</cdr:y>
    </cdr:to>
    <cdr:sp macro="" textlink="Sheet1!$D$1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B3962BBB-5D15-4588-8789-1816752D791E}"/>
            </a:ext>
          </a:extLst>
        </cdr:cNvPr>
        <cdr:cNvSpPr txBox="1"/>
      </cdr:nvSpPr>
      <cdr:spPr>
        <a:xfrm xmlns:a="http://schemas.openxmlformats.org/drawingml/2006/main">
          <a:off x="6562724" y="590549"/>
          <a:ext cx="9144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4750F1E-F30A-4D67-AB3E-2F9447FBDF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$8,299,392</a:t>
          </a:fld>
          <a:endParaRPr lang="en-U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garwal" refreshedDate="43968.53622303241" createdVersion="6" refreshedVersion="6" minRefreshableVersion="3" recordCount="155" xr:uid="{02C8E57B-B438-44EE-904D-122CAF32A9FE}">
  <cacheSource type="worksheet">
    <worksheetSource name="car_sales"/>
  </cacheSource>
  <cacheFields count="4">
    <cacheField name="manufacturer" numFmtId="0">
      <sharedItems count="30">
        <s v="Mitsubishi"/>
        <s v="Dodge"/>
        <s v="Mercedes-B"/>
        <s v="Oldsmobile"/>
        <s v="Porsche"/>
        <s v="Audi"/>
        <s v="Plymouth"/>
        <s v="Lexus"/>
        <s v="Volvo"/>
        <s v="Saturn"/>
        <s v="Volkswagen"/>
        <s v="Cadillac"/>
        <s v="Chrysler"/>
        <s v="Acura"/>
        <s v="BMW"/>
        <s v="Toyota"/>
        <s v="Honda"/>
        <s v="Lincoln"/>
        <s v="Mercury"/>
        <s v="Jaguar"/>
        <s v="Chevrolet"/>
        <s v="Pontiac"/>
        <s v="Infiniti"/>
        <s v="Nissan"/>
        <s v="Buick"/>
        <s v="Hyundai"/>
        <s v="Subaru"/>
        <s v="Ford"/>
        <s v="Jeep"/>
        <s v="test" u="1"/>
      </sharedItems>
    </cacheField>
    <cacheField name="model" numFmtId="0">
      <sharedItems/>
    </cacheField>
    <cacheField name="sales" numFmtId="0">
      <sharedItems containsSemiMixedTypes="0" containsString="0" containsNumber="1" minValue="110" maxValue="540561"/>
    </cacheField>
    <cacheField name="vehicle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">
  <r>
    <x v="0"/>
    <s v="3000GT"/>
    <n v="110"/>
    <s v="Passenger_x000d_"/>
  </r>
  <r>
    <x v="1"/>
    <s v="Viper"/>
    <n v="916"/>
    <s v="Passenger_x000d_"/>
  </r>
  <r>
    <x v="2"/>
    <s v="CL500"/>
    <n v="954"/>
    <s v="Passenger_x000d_"/>
  </r>
  <r>
    <x v="3"/>
    <s v="Cutlass"/>
    <n v="1112"/>
    <s v="Passenger_x000d_"/>
  </r>
  <r>
    <x v="4"/>
    <s v="Carrera Coupe"/>
    <n v="1280"/>
    <s v="Passenger_x000d_"/>
  </r>
  <r>
    <x v="5"/>
    <s v="A8"/>
    <n v="1380"/>
    <s v="Passenger_x000d_"/>
  </r>
  <r>
    <x v="2"/>
    <s v="SLK230"/>
    <n v="1526"/>
    <s v="Passenger_x000d_"/>
  </r>
  <r>
    <x v="4"/>
    <s v="Carrera Cabrio"/>
    <n v="1866"/>
    <s v="Passenger_x000d_"/>
  </r>
  <r>
    <x v="6"/>
    <s v="Prowler"/>
    <n v="1872"/>
    <s v="Passenger_x000d_"/>
  </r>
  <r>
    <x v="2"/>
    <s v="SL-Class"/>
    <n v="3311"/>
    <s v="Passenger_x000d_"/>
  </r>
  <r>
    <x v="7"/>
    <s v="GS400"/>
    <n v="3334"/>
    <s v="Passenger_x000d_"/>
  </r>
  <r>
    <x v="8"/>
    <s v="C70"/>
    <n v="3493"/>
    <s v="Passenger_x000d_"/>
  </r>
  <r>
    <x v="8"/>
    <s v="V40"/>
    <n v="3545"/>
    <s v="Passenger_x000d_"/>
  </r>
  <r>
    <x v="1"/>
    <s v="Avenger"/>
    <n v="4734"/>
    <s v="Passenger_x000d_"/>
  </r>
  <r>
    <x v="9"/>
    <s v="SW"/>
    <n v="5223"/>
    <s v="Passenger_x000d_"/>
  </r>
  <r>
    <x v="6"/>
    <s v="Breeze"/>
    <n v="5240"/>
    <s v="Passenger_x000d_"/>
  </r>
  <r>
    <x v="10"/>
    <s v="GTI"/>
    <n v="5596"/>
    <s v="Passenger_x000d_"/>
  </r>
  <r>
    <x v="0"/>
    <s v="Diamante"/>
    <n v="5711"/>
    <s v="Passenger_x000d_"/>
  </r>
  <r>
    <x v="7"/>
    <s v="LS400"/>
    <n v="6375"/>
    <s v="Passenger_x000d_"/>
  </r>
  <r>
    <x v="11"/>
    <s v="Eldorado"/>
    <n v="6536"/>
    <s v="Passenger_x000d_"/>
  </r>
  <r>
    <x v="12"/>
    <s v="Sebring Coupe"/>
    <n v="7854"/>
    <s v="Passenger_x000d_"/>
  </r>
  <r>
    <x v="2"/>
    <s v="SLK"/>
    <n v="7998"/>
    <s v="Passenger_x000d_"/>
  </r>
  <r>
    <x v="9"/>
    <s v="LW"/>
    <n v="8472"/>
    <s v="Passenger_x000d_"/>
  </r>
  <r>
    <x v="13"/>
    <s v="RL"/>
    <n v="8588"/>
    <s v="Passenger_x000d_"/>
  </r>
  <r>
    <x v="4"/>
    <s v="Boxter"/>
    <n v="8982"/>
    <s v="Passenger_x000d_"/>
  </r>
  <r>
    <x v="7"/>
    <s v="LX470"/>
    <n v="9126"/>
    <s v="Car_x000d_"/>
  </r>
  <r>
    <x v="14"/>
    <s v="328i"/>
    <n v="9231"/>
    <s v="Passenger_x000d_"/>
  </r>
  <r>
    <x v="10"/>
    <s v="Cabrio"/>
    <n v="9569"/>
    <s v="Passenger_x000d_"/>
  </r>
  <r>
    <x v="10"/>
    <s v="Golf"/>
    <n v="9761"/>
    <s v="Passenger_x000d_"/>
  </r>
  <r>
    <x v="15"/>
    <s v="Land Cruiser"/>
    <n v="9835"/>
    <s v="Car_x000d_"/>
  </r>
  <r>
    <x v="11"/>
    <s v="Catera"/>
    <n v="11185"/>
    <s v="Passenger_x000d_"/>
  </r>
  <r>
    <x v="0"/>
    <s v="Montero"/>
    <n v="11337"/>
    <s v="Car_x000d_"/>
  </r>
  <r>
    <x v="2"/>
    <s v="CLK Coupe"/>
    <n v="11592"/>
    <s v="Passenger_x000d_"/>
  </r>
  <r>
    <x v="7"/>
    <s v="GS300"/>
    <n v="12698"/>
    <s v="Passenger_x000d_"/>
  </r>
  <r>
    <x v="16"/>
    <s v="Passport"/>
    <n v="12855"/>
    <s v="Car_x000d_"/>
  </r>
  <r>
    <x v="12"/>
    <s v="LHS"/>
    <n v="13462"/>
    <s v="Passenger_x000d_"/>
  </r>
  <r>
    <x v="17"/>
    <s v="Continental"/>
    <n v="13798"/>
    <s v="Passenger_x000d_"/>
  </r>
  <r>
    <x v="13"/>
    <s v="CL"/>
    <n v="14114"/>
    <s v="Passenger_x000d_"/>
  </r>
  <r>
    <x v="18"/>
    <s v="Mystique"/>
    <n v="14351"/>
    <s v="Passenger_x000d_"/>
  </r>
  <r>
    <x v="3"/>
    <s v="Aurora"/>
    <n v="14690"/>
    <s v="Passenger_x000d_"/>
  </r>
  <r>
    <x v="11"/>
    <s v="Escalade"/>
    <n v="14785"/>
    <s v="Car_x000d_"/>
  </r>
  <r>
    <x v="8"/>
    <s v="S70"/>
    <n v="15245"/>
    <s v="Passenger_x000d_"/>
  </r>
  <r>
    <x v="19"/>
    <s v="S-Type"/>
    <n v="15467"/>
    <s v="Passenger_x000d_"/>
  </r>
  <r>
    <x v="11"/>
    <s v="Seville"/>
    <n v="15943"/>
    <s v="Passenger_x000d_"/>
  </r>
  <r>
    <x v="1"/>
    <s v="Ram Wagon"/>
    <n v="16767"/>
    <s v="Car_x000d_"/>
  </r>
  <r>
    <x v="2"/>
    <s v="S-Class"/>
    <n v="16774"/>
    <s v="Passenger_x000d_"/>
  </r>
  <r>
    <x v="13"/>
    <s v="Integra"/>
    <n v="16919"/>
    <s v="Passenger_x000d_"/>
  </r>
  <r>
    <x v="8"/>
    <s v="S40"/>
    <n v="16957"/>
    <s v="Passenger_x000d_"/>
  </r>
  <r>
    <x v="14"/>
    <s v="528i"/>
    <n v="17527"/>
    <s v="Passenger_x000d_"/>
  </r>
  <r>
    <x v="8"/>
    <s v="V70"/>
    <n v="17531"/>
    <s v="Passenger_x000d_"/>
  </r>
  <r>
    <x v="20"/>
    <s v="Corvette"/>
    <n v="17947"/>
    <s v="Passenger_x000d_"/>
  </r>
  <r>
    <x v="2"/>
    <s v="C-Class"/>
    <n v="18392"/>
    <s v="Passenger_x000d_"/>
  </r>
  <r>
    <x v="5"/>
    <s v="A6"/>
    <n v="18780"/>
    <s v="Passenger_x000d_"/>
  </r>
  <r>
    <x v="8"/>
    <s v="S80"/>
    <n v="18969"/>
    <s v="Passenger_x000d_"/>
  </r>
  <r>
    <x v="14"/>
    <s v="323i"/>
    <n v="19747"/>
    <s v="Passenger_x000d_"/>
  </r>
  <r>
    <x v="21"/>
    <s v="Firebird"/>
    <n v="19911"/>
    <s v="Passenger_x000d_"/>
  </r>
  <r>
    <x v="3"/>
    <s v="Bravada"/>
    <n v="20017"/>
    <s v="Car_x000d_"/>
  </r>
  <r>
    <x v="18"/>
    <s v="Villager"/>
    <n v="20380"/>
    <s v="Car_x000d_"/>
  </r>
  <r>
    <x v="5"/>
    <s v="A4"/>
    <n v="20397"/>
    <s v="Passenger_x000d_"/>
  </r>
  <r>
    <x v="20"/>
    <s v="Metro"/>
    <n v="21855"/>
    <s v="Passenger_x000d_"/>
  </r>
  <r>
    <x v="17"/>
    <s v="Navigator"/>
    <n v="22925"/>
    <s v="Car_x000d_"/>
  </r>
  <r>
    <x v="22"/>
    <s v="I30"/>
    <n v="23713"/>
    <s v="Passenger_x000d_"/>
  </r>
  <r>
    <x v="7"/>
    <s v="ES300"/>
    <n v="24072"/>
    <s v="Passenger_x000d_"/>
  </r>
  <r>
    <x v="6"/>
    <s v="Voyager"/>
    <n v="24155"/>
    <s v="Car_x000d_"/>
  </r>
  <r>
    <x v="3"/>
    <s v="Silhouette"/>
    <n v="24361"/>
    <s v="Car_x000d_"/>
  </r>
  <r>
    <x v="9"/>
    <s v="SC"/>
    <n v="24546"/>
    <s v="Passenger_x000d_"/>
  </r>
  <r>
    <x v="20"/>
    <s v="Lumina"/>
    <n v="24629"/>
    <s v="Passenger_x000d_"/>
  </r>
  <r>
    <x v="15"/>
    <s v="RAV4"/>
    <n v="25106"/>
    <s v="Car_x000d_"/>
  </r>
  <r>
    <x v="0"/>
    <s v="Mirage"/>
    <n v="26232"/>
    <s v="Passenger_x000d_"/>
  </r>
  <r>
    <x v="20"/>
    <s v="Camaro"/>
    <n v="26402"/>
    <s v="Passenger_x000d_"/>
  </r>
  <r>
    <x v="18"/>
    <s v="Cougar"/>
    <n v="26529"/>
    <s v="Passenger_x000d_"/>
  </r>
  <r>
    <x v="23"/>
    <s v="Quest"/>
    <n v="27308"/>
    <s v="Car_x000d_"/>
  </r>
  <r>
    <x v="2"/>
    <s v="E-Class"/>
    <n v="27602"/>
    <s v="Passenger_x000d_"/>
  </r>
  <r>
    <x v="18"/>
    <s v="Mountaineer"/>
    <n v="27609"/>
    <s v="Car_x000d_"/>
  </r>
  <r>
    <x v="24"/>
    <s v="Park Avenue"/>
    <n v="27851"/>
    <s v="Passenger_x000d_"/>
  </r>
  <r>
    <x v="2"/>
    <s v="M-Class"/>
    <n v="28976"/>
    <s v="Car_x000d_"/>
  </r>
  <r>
    <x v="25"/>
    <s v="Sonata"/>
    <n v="29450"/>
    <s v="Passenger_x000d_"/>
  </r>
  <r>
    <x v="12"/>
    <s v="300M"/>
    <n v="30696"/>
    <s v="Passenger_x000d_"/>
  </r>
  <r>
    <x v="1"/>
    <s v="Ram Van"/>
    <n v="31038"/>
    <s v="Car_x000d_"/>
  </r>
  <r>
    <x v="12"/>
    <s v="Concorde"/>
    <n v="31148"/>
    <s v="Passenger_x000d_"/>
  </r>
  <r>
    <x v="20"/>
    <s v="Prizm"/>
    <n v="32299"/>
    <s v="Passenger_x000d_"/>
  </r>
  <r>
    <x v="12"/>
    <s v="Cirrus"/>
    <n v="32305.999999999996"/>
    <s v="Passenger_x000d_"/>
  </r>
  <r>
    <x v="6"/>
    <s v="Neon"/>
    <n v="32734"/>
    <s v="Passenger_x000d_"/>
  </r>
  <r>
    <x v="12"/>
    <s v="Sebring Conv."/>
    <n v="32775"/>
    <s v="Passenger_x000d_"/>
  </r>
  <r>
    <x v="26"/>
    <s v="Forester"/>
    <n v="33028"/>
    <s v="Car_x000d_"/>
  </r>
  <r>
    <x v="15"/>
    <s v="Celica"/>
    <n v="33269"/>
    <s v="Passenger_x000d_"/>
  </r>
  <r>
    <x v="27"/>
    <s v="Contour"/>
    <n v="35068"/>
    <s v="Passenger_x000d_"/>
  </r>
  <r>
    <x v="21"/>
    <s v="Bonneville"/>
    <n v="35945"/>
    <s v="Passenger_x000d_"/>
  </r>
  <r>
    <x v="3"/>
    <s v="Intrigue"/>
    <n v="38554"/>
    <s v="Passenger_x000d_"/>
  </r>
  <r>
    <x v="0"/>
    <s v="Montero Sport"/>
    <n v="39348"/>
    <s v="Car_x000d_"/>
  </r>
  <r>
    <x v="24"/>
    <s v="Regal"/>
    <n v="39350"/>
    <s v="Passenger_x000d_"/>
  </r>
  <r>
    <x v="13"/>
    <s v="TL"/>
    <n v="39384"/>
    <s v="Passenger_x000d_"/>
  </r>
  <r>
    <x v="21"/>
    <s v="Montana"/>
    <n v="39572"/>
    <s v="Car_x000d_"/>
  </r>
  <r>
    <x v="25"/>
    <s v="Accent"/>
    <n v="41184"/>
    <s v="Passenger_x000d_"/>
  </r>
  <r>
    <x v="0"/>
    <s v="Eclipse"/>
    <n v="42541"/>
    <s v="Passenger_x000d_"/>
  </r>
  <r>
    <x v="23"/>
    <s v="Pathfinder"/>
    <n v="42574"/>
    <s v="Car_x000d_"/>
  </r>
  <r>
    <x v="20"/>
    <s v="Monte Carlo"/>
    <n v="42593"/>
    <s v="Passenger_x000d_"/>
  </r>
  <r>
    <x v="23"/>
    <s v="Sentra"/>
    <n v="42643"/>
    <s v="Passenger_x000d_"/>
  </r>
  <r>
    <x v="26"/>
    <s v="Outback"/>
    <n v="47107"/>
    <s v="Passenger_x000d_"/>
  </r>
  <r>
    <x v="17"/>
    <s v="Town car"/>
    <n v="48911"/>
    <s v="Passenger_x000d_"/>
  </r>
  <r>
    <x v="10"/>
    <s v="Beetle"/>
    <n v="49463"/>
    <s v="Passenger_x000d_"/>
  </r>
  <r>
    <x v="9"/>
    <s v="LS"/>
    <n v="49989"/>
    <s v="Passenger_x000d_"/>
  </r>
  <r>
    <x v="10"/>
    <s v="Passat"/>
    <n v="51102"/>
    <s v="Passenger_x000d_"/>
  </r>
  <r>
    <x v="7"/>
    <s v="RX300"/>
    <n v="51238"/>
    <s v="Car_x000d_"/>
  </r>
  <r>
    <x v="21"/>
    <s v="Sunfire"/>
    <n v="51645"/>
    <s v="Passenger_x000d_"/>
  </r>
  <r>
    <x v="12"/>
    <s v="Town &amp; Country"/>
    <n v="53480"/>
    <s v="Car_x000d_"/>
  </r>
  <r>
    <x v="23"/>
    <s v="Xterra"/>
    <n v="54158"/>
    <s v="Car_x000d_"/>
  </r>
  <r>
    <x v="28"/>
    <s v="Wrangler"/>
    <n v="55557"/>
    <s v="Car_x000d_"/>
  </r>
  <r>
    <x v="0"/>
    <s v="Galant"/>
    <n v="55616"/>
    <s v="Passenger_x000d_"/>
  </r>
  <r>
    <x v="27"/>
    <s v="Crown Victoria"/>
    <n v="63403"/>
    <s v="Passenger_x000d_"/>
  </r>
  <r>
    <x v="11"/>
    <s v="DeVille"/>
    <n v="63729"/>
    <s v="Passenger_x000d_"/>
  </r>
  <r>
    <x v="15"/>
    <s v="Avalon"/>
    <n v="63849"/>
    <s v="Passenger_x000d_"/>
  </r>
  <r>
    <x v="23"/>
    <s v="Frontier"/>
    <n v="65004.999999999993"/>
    <s v="Car_x000d_"/>
  </r>
  <r>
    <x v="15"/>
    <s v="Sienna"/>
    <n v="65119"/>
    <s v="Car_x000d_"/>
  </r>
  <r>
    <x v="25"/>
    <s v="Elantra"/>
    <n v="66692"/>
    <s v="Passenger_x000d_"/>
  </r>
  <r>
    <x v="18"/>
    <s v="Sable"/>
    <n v="67956"/>
    <s v="Passenger_x000d_"/>
  </r>
  <r>
    <x v="15"/>
    <s v="4Runner"/>
    <n v="68411"/>
    <s v="Car_x000d_"/>
  </r>
  <r>
    <x v="27"/>
    <s v="Escort"/>
    <n v="70227"/>
    <s v="Passenger_x000d_"/>
  </r>
  <r>
    <x v="1"/>
    <s v="Stratus"/>
    <n v="71186"/>
    <s v="Passenger_x000d_"/>
  </r>
  <r>
    <x v="16"/>
    <s v="CR-V"/>
    <n v="73203"/>
    <s v="Car_x000d_"/>
  </r>
  <r>
    <x v="16"/>
    <s v="Odyssey"/>
    <n v="76029"/>
    <s v="Car_x000d_"/>
  </r>
  <r>
    <x v="1"/>
    <s v="Neon"/>
    <n v="76034"/>
    <s v="Passenger_x000d_"/>
  </r>
  <r>
    <x v="23"/>
    <s v="Maxima"/>
    <n v="79853"/>
    <s v="Passenger_x000d_"/>
  </r>
  <r>
    <x v="3"/>
    <s v="Alero"/>
    <n v="80255"/>
    <s v="Passenger_x000d_"/>
  </r>
  <r>
    <x v="28"/>
    <s v="Cherokee"/>
    <n v="80556"/>
    <s v="Car_x000d_"/>
  </r>
  <r>
    <x v="9"/>
    <s v="SL"/>
    <n v="80620"/>
    <s v="Passenger_x000d_"/>
  </r>
  <r>
    <x v="18"/>
    <s v="Grand Marquis"/>
    <n v="81174"/>
    <s v="Passenger_x000d_"/>
  </r>
  <r>
    <x v="24"/>
    <s v="LeSabre"/>
    <n v="83257"/>
    <s v="Passenger_x000d_"/>
  </r>
  <r>
    <x v="10"/>
    <s v="Jetta"/>
    <n v="83721"/>
    <s v="Passenger_x000d_"/>
  </r>
  <r>
    <x v="15"/>
    <s v="Tacoma"/>
    <n v="84087"/>
    <s v="Car_x000d_"/>
  </r>
  <r>
    <x v="1"/>
    <s v="Intrepid"/>
    <n v="88028"/>
    <s v="Passenger_x000d_"/>
  </r>
  <r>
    <x v="23"/>
    <s v="Altima"/>
    <n v="88094"/>
    <s v="Passenger_x000d_"/>
  </r>
  <r>
    <x v="24"/>
    <s v="Century"/>
    <n v="91561"/>
    <s v="Passenger_x000d_"/>
  </r>
  <r>
    <x v="21"/>
    <s v="Grand Prix"/>
    <n v="92364"/>
    <s v="Passenger_x000d_"/>
  </r>
  <r>
    <x v="1"/>
    <s v="Durango"/>
    <n v="101323"/>
    <s v="Car_x000d_"/>
  </r>
  <r>
    <x v="20"/>
    <s v="Impala"/>
    <n v="107995"/>
    <s v="Passenger_x000d_"/>
  </r>
  <r>
    <x v="1"/>
    <s v="Dakota"/>
    <n v="111313"/>
    <s v="Car_x000d_"/>
  </r>
  <r>
    <x v="27"/>
    <s v="Mustang"/>
    <n v="113369"/>
    <s v="Passenger_x000d_"/>
  </r>
  <r>
    <x v="27"/>
    <s v="Expedition"/>
    <n v="125338"/>
    <s v="Car_x000d_"/>
  </r>
  <r>
    <x v="21"/>
    <s v="Grand Am"/>
    <n v="131097"/>
    <s v="Passenger_x000d_"/>
  </r>
  <r>
    <x v="20"/>
    <s v="Malibu"/>
    <n v="135126"/>
    <s v="Passenger_x000d_"/>
  </r>
  <r>
    <x v="15"/>
    <s v="Corolla"/>
    <n v="142535"/>
    <s v="Passenger_x000d_"/>
  </r>
  <r>
    <x v="20"/>
    <s v="Cavalier"/>
    <n v="145519"/>
    <s v="Passenger_x000d_"/>
  </r>
  <r>
    <x v="27"/>
    <s v="Windstar"/>
    <n v="155787"/>
    <s v="Car_x000d_"/>
  </r>
  <r>
    <x v="28"/>
    <s v="Grand Cherokee"/>
    <n v="157040"/>
    <s v="Car_x000d_"/>
  </r>
  <r>
    <x v="27"/>
    <s v="Focus"/>
    <n v="175670"/>
    <s v="Passenger_x000d_"/>
  </r>
  <r>
    <x v="1"/>
    <s v="Caravan"/>
    <n v="181749"/>
    <s v="Car_x000d_"/>
  </r>
  <r>
    <x v="16"/>
    <s v="Civic"/>
    <n v="199685"/>
    <s v="Passenger_x000d_"/>
  </r>
  <r>
    <x v="27"/>
    <s v="Ranger"/>
    <n v="220650"/>
    <s v="Car_x000d_"/>
  </r>
  <r>
    <x v="1"/>
    <s v="Ram Pickup"/>
    <n v="227061"/>
    <s v="Car_x000d_"/>
  </r>
  <r>
    <x v="16"/>
    <s v="Accord"/>
    <n v="230902"/>
    <s v="Passenger_x000d_"/>
  </r>
  <r>
    <x v="27"/>
    <s v="Taurus"/>
    <n v="245815"/>
    <s v="Passenger_x000d_"/>
  </r>
  <r>
    <x v="15"/>
    <s v="Camry"/>
    <n v="247994"/>
    <s v="Passenger_x000d_"/>
  </r>
  <r>
    <x v="27"/>
    <s v="Explorer"/>
    <n v="276747"/>
    <s v="Car_x000d_"/>
  </r>
  <r>
    <x v="27"/>
    <s v="F-Series"/>
    <n v="540561"/>
    <s v="Car_x000d_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A9DEA-D4EA-4B1A-B335-9A7A72C16739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33" firstHeaderRow="1" firstDataRow="1" firstDataCol="1"/>
  <pivotFields count="4">
    <pivotField axis="axisRow" showAll="0">
      <items count="31">
        <item x="13"/>
        <item x="5"/>
        <item x="14"/>
        <item x="24"/>
        <item x="11"/>
        <item x="20"/>
        <item x="12"/>
        <item x="1"/>
        <item x="27"/>
        <item x="16"/>
        <item x="25"/>
        <item x="22"/>
        <item x="19"/>
        <item x="28"/>
        <item x="7"/>
        <item x="17"/>
        <item x="2"/>
        <item x="18"/>
        <item x="0"/>
        <item x="23"/>
        <item x="3"/>
        <item x="6"/>
        <item x="21"/>
        <item x="4"/>
        <item x="9"/>
        <item x="26"/>
        <item x="15"/>
        <item x="10"/>
        <item x="8"/>
        <item m="1" x="29"/>
        <item t="default"/>
      </items>
    </pivotField>
    <pivotField showAll="0"/>
    <pivotField dataField="1" showAll="0"/>
    <pivotField showAl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Sum of sales" fld="2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A62A039-44F9-494B-9354-B5FC52596F18}" autoFormatId="16" applyNumberFormats="0" applyBorderFormats="0" applyFontFormats="0" applyPatternFormats="0" applyAlignmentFormats="0" applyWidthHeightFormats="0">
  <queryTableRefresh nextId="5">
    <queryTableFields count="4">
      <queryTableField id="1" name="manufacturer" tableColumnId="1"/>
      <queryTableField id="2" name="model" tableColumnId="2"/>
      <queryTableField id="3" name="sales" tableColumnId="3"/>
      <queryTableField id="4" name="vehicle_typ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0BEE85-E828-4D46-8C7E-CE72B771BABB}" name="car_sales" displayName="car_sales" ref="A1:D156" tableType="queryTable" totalsRowShown="0">
  <autoFilter ref="A1:D156" xr:uid="{5536B685-F634-462D-88A1-DD7B9095BDCA}"/>
  <tableColumns count="4">
    <tableColumn id="1" xr3:uid="{EFA00891-5521-4B86-8FC2-CA324BEA237E}" uniqueName="1" name="manufacturer" queryTableFieldId="1" dataDxfId="2"/>
    <tableColumn id="2" xr3:uid="{1F7FEF88-1BC3-4D18-8098-593A5CB17812}" uniqueName="2" name="model" queryTableFieldId="2" dataDxfId="1"/>
    <tableColumn id="3" xr3:uid="{A8C875ED-54B5-4FF2-8A21-94C0C65DA040}" uniqueName="3" name="sales" queryTableFieldId="3"/>
    <tableColumn id="4" xr3:uid="{4BC656C1-B75B-4661-9E81-CC8111EC2D1E}" uniqueName="4" name="vehicle_typ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D338B-2784-4938-B781-0384A85BBE10}">
  <sheetPr codeName="Sheet4"/>
  <dimension ref="A1:E1"/>
  <sheetViews>
    <sheetView workbookViewId="0">
      <selection activeCell="E14" sqref="E14"/>
    </sheetView>
  </sheetViews>
  <sheetFormatPr defaultRowHeight="15" x14ac:dyDescent="0.25"/>
  <cols>
    <col min="1" max="1" width="29.140625" bestFit="1" customWidth="1"/>
    <col min="5" max="5" width="134.5703125" customWidth="1"/>
  </cols>
  <sheetData>
    <row r="1" spans="1:5" ht="42" x14ac:dyDescent="0.35">
      <c r="A1" t="s">
        <v>198</v>
      </c>
      <c r="B1">
        <v>10</v>
      </c>
      <c r="E1" s="3" t="s">
        <v>199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1FC1F-FD2B-4F56-930B-EE7E60349FAD}">
  <sheetPr codeName="Sheet1"/>
  <dimension ref="A1:D156"/>
  <sheetViews>
    <sheetView tabSelected="1" workbookViewId="0">
      <selection activeCell="I48" sqref="I48"/>
    </sheetView>
  </sheetViews>
  <sheetFormatPr defaultRowHeight="15" x14ac:dyDescent="0.25"/>
  <cols>
    <col min="1" max="2" width="15.42578125" bestFit="1" customWidth="1"/>
    <col min="3" max="3" width="7.7109375" bestFit="1" customWidth="1"/>
    <col min="4" max="4" width="14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 t="s">
        <v>4</v>
      </c>
      <c r="B2" s="1" t="s">
        <v>5</v>
      </c>
      <c r="C2">
        <v>110</v>
      </c>
      <c r="D2" s="1" t="s">
        <v>6</v>
      </c>
    </row>
    <row r="3" spans="1:4" x14ac:dyDescent="0.25">
      <c r="A3" s="1" t="s">
        <v>7</v>
      </c>
      <c r="B3" s="1" t="s">
        <v>8</v>
      </c>
      <c r="C3">
        <v>916</v>
      </c>
      <c r="D3" s="1" t="s">
        <v>6</v>
      </c>
    </row>
    <row r="4" spans="1:4" x14ac:dyDescent="0.25">
      <c r="A4" s="1" t="s">
        <v>9</v>
      </c>
      <c r="B4" s="1" t="s">
        <v>10</v>
      </c>
      <c r="C4">
        <v>954</v>
      </c>
      <c r="D4" s="1" t="s">
        <v>6</v>
      </c>
    </row>
    <row r="5" spans="1:4" x14ac:dyDescent="0.25">
      <c r="A5" s="1" t="s">
        <v>11</v>
      </c>
      <c r="B5" s="1" t="s">
        <v>12</v>
      </c>
      <c r="C5">
        <v>1112</v>
      </c>
      <c r="D5" s="1" t="s">
        <v>6</v>
      </c>
    </row>
    <row r="6" spans="1:4" x14ac:dyDescent="0.25">
      <c r="A6" s="1" t="s">
        <v>13</v>
      </c>
      <c r="B6" s="1" t="s">
        <v>14</v>
      </c>
      <c r="C6">
        <v>1280</v>
      </c>
      <c r="D6" s="1" t="s">
        <v>6</v>
      </c>
    </row>
    <row r="7" spans="1:4" x14ac:dyDescent="0.25">
      <c r="A7" s="1" t="s">
        <v>15</v>
      </c>
      <c r="B7" s="1" t="s">
        <v>16</v>
      </c>
      <c r="C7">
        <v>1380</v>
      </c>
      <c r="D7" s="1" t="s">
        <v>6</v>
      </c>
    </row>
    <row r="8" spans="1:4" x14ac:dyDescent="0.25">
      <c r="A8" s="1" t="s">
        <v>9</v>
      </c>
      <c r="B8" s="1" t="s">
        <v>17</v>
      </c>
      <c r="C8">
        <v>1526</v>
      </c>
      <c r="D8" s="1" t="s">
        <v>6</v>
      </c>
    </row>
    <row r="9" spans="1:4" x14ac:dyDescent="0.25">
      <c r="A9" s="1" t="s">
        <v>13</v>
      </c>
      <c r="B9" s="1" t="s">
        <v>18</v>
      </c>
      <c r="C9">
        <v>1866</v>
      </c>
      <c r="D9" s="1" t="s">
        <v>6</v>
      </c>
    </row>
    <row r="10" spans="1:4" x14ac:dyDescent="0.25">
      <c r="A10" s="1" t="s">
        <v>19</v>
      </c>
      <c r="B10" s="1" t="s">
        <v>20</v>
      </c>
      <c r="C10">
        <v>1872</v>
      </c>
      <c r="D10" s="1" t="s">
        <v>6</v>
      </c>
    </row>
    <row r="11" spans="1:4" x14ac:dyDescent="0.25">
      <c r="A11" s="1" t="s">
        <v>9</v>
      </c>
      <c r="B11" s="1" t="s">
        <v>21</v>
      </c>
      <c r="C11">
        <v>3311</v>
      </c>
      <c r="D11" s="1" t="s">
        <v>6</v>
      </c>
    </row>
    <row r="12" spans="1:4" x14ac:dyDescent="0.25">
      <c r="A12" s="1" t="s">
        <v>22</v>
      </c>
      <c r="B12" s="1" t="s">
        <v>23</v>
      </c>
      <c r="C12">
        <v>3334</v>
      </c>
      <c r="D12" s="1" t="s">
        <v>6</v>
      </c>
    </row>
    <row r="13" spans="1:4" x14ac:dyDescent="0.25">
      <c r="A13" s="1" t="s">
        <v>24</v>
      </c>
      <c r="B13" s="1" t="s">
        <v>25</v>
      </c>
      <c r="C13">
        <v>3493</v>
      </c>
      <c r="D13" s="1" t="s">
        <v>6</v>
      </c>
    </row>
    <row r="14" spans="1:4" x14ac:dyDescent="0.25">
      <c r="A14" s="1" t="s">
        <v>24</v>
      </c>
      <c r="B14" s="1" t="s">
        <v>26</v>
      </c>
      <c r="C14">
        <v>3545</v>
      </c>
      <c r="D14" s="1" t="s">
        <v>6</v>
      </c>
    </row>
    <row r="15" spans="1:4" x14ac:dyDescent="0.25">
      <c r="A15" s="1" t="s">
        <v>7</v>
      </c>
      <c r="B15" s="1" t="s">
        <v>27</v>
      </c>
      <c r="C15">
        <v>4734</v>
      </c>
      <c r="D15" s="1" t="s">
        <v>6</v>
      </c>
    </row>
    <row r="16" spans="1:4" x14ac:dyDescent="0.25">
      <c r="A16" s="1" t="s">
        <v>28</v>
      </c>
      <c r="B16" s="1" t="s">
        <v>29</v>
      </c>
      <c r="C16">
        <v>5223</v>
      </c>
      <c r="D16" s="1" t="s">
        <v>6</v>
      </c>
    </row>
    <row r="17" spans="1:4" x14ac:dyDescent="0.25">
      <c r="A17" s="1" t="s">
        <v>19</v>
      </c>
      <c r="B17" s="1" t="s">
        <v>30</v>
      </c>
      <c r="C17">
        <v>5240</v>
      </c>
      <c r="D17" s="1" t="s">
        <v>6</v>
      </c>
    </row>
    <row r="18" spans="1:4" x14ac:dyDescent="0.25">
      <c r="A18" s="1" t="s">
        <v>31</v>
      </c>
      <c r="B18" s="1" t="s">
        <v>32</v>
      </c>
      <c r="C18">
        <v>5596</v>
      </c>
      <c r="D18" s="1" t="s">
        <v>6</v>
      </c>
    </row>
    <row r="19" spans="1:4" x14ac:dyDescent="0.25">
      <c r="A19" s="1" t="s">
        <v>4</v>
      </c>
      <c r="B19" s="1" t="s">
        <v>33</v>
      </c>
      <c r="C19">
        <v>5711</v>
      </c>
      <c r="D19" s="1" t="s">
        <v>6</v>
      </c>
    </row>
    <row r="20" spans="1:4" x14ac:dyDescent="0.25">
      <c r="A20" s="1" t="s">
        <v>22</v>
      </c>
      <c r="B20" s="1" t="s">
        <v>34</v>
      </c>
      <c r="C20">
        <v>6375</v>
      </c>
      <c r="D20" s="1" t="s">
        <v>6</v>
      </c>
    </row>
    <row r="21" spans="1:4" x14ac:dyDescent="0.25">
      <c r="A21" s="1" t="s">
        <v>35</v>
      </c>
      <c r="B21" s="1" t="s">
        <v>36</v>
      </c>
      <c r="C21">
        <v>6536</v>
      </c>
      <c r="D21" s="1" t="s">
        <v>6</v>
      </c>
    </row>
    <row r="22" spans="1:4" x14ac:dyDescent="0.25">
      <c r="A22" s="1" t="s">
        <v>37</v>
      </c>
      <c r="B22" s="1" t="s">
        <v>38</v>
      </c>
      <c r="C22">
        <v>7854</v>
      </c>
      <c r="D22" s="1" t="s">
        <v>6</v>
      </c>
    </row>
    <row r="23" spans="1:4" x14ac:dyDescent="0.25">
      <c r="A23" s="1" t="s">
        <v>9</v>
      </c>
      <c r="B23" s="1" t="s">
        <v>39</v>
      </c>
      <c r="C23">
        <v>7998</v>
      </c>
      <c r="D23" s="1" t="s">
        <v>6</v>
      </c>
    </row>
    <row r="24" spans="1:4" x14ac:dyDescent="0.25">
      <c r="A24" s="1" t="s">
        <v>28</v>
      </c>
      <c r="B24" s="1" t="s">
        <v>40</v>
      </c>
      <c r="C24">
        <v>8472</v>
      </c>
      <c r="D24" s="1" t="s">
        <v>6</v>
      </c>
    </row>
    <row r="25" spans="1:4" x14ac:dyDescent="0.25">
      <c r="A25" s="1" t="s">
        <v>41</v>
      </c>
      <c r="B25" s="1" t="s">
        <v>42</v>
      </c>
      <c r="C25">
        <v>8588</v>
      </c>
      <c r="D25" s="1" t="s">
        <v>6</v>
      </c>
    </row>
    <row r="26" spans="1:4" x14ac:dyDescent="0.25">
      <c r="A26" s="1" t="s">
        <v>13</v>
      </c>
      <c r="B26" s="1" t="s">
        <v>43</v>
      </c>
      <c r="C26">
        <v>8982</v>
      </c>
      <c r="D26" s="1" t="s">
        <v>6</v>
      </c>
    </row>
    <row r="27" spans="1:4" x14ac:dyDescent="0.25">
      <c r="A27" s="1" t="s">
        <v>22</v>
      </c>
      <c r="B27" s="1" t="s">
        <v>44</v>
      </c>
      <c r="C27">
        <v>9126</v>
      </c>
      <c r="D27" s="1" t="s">
        <v>45</v>
      </c>
    </row>
    <row r="28" spans="1:4" x14ac:dyDescent="0.25">
      <c r="A28" s="1" t="s">
        <v>46</v>
      </c>
      <c r="B28" s="1" t="s">
        <v>47</v>
      </c>
      <c r="C28">
        <v>9231</v>
      </c>
      <c r="D28" s="1" t="s">
        <v>6</v>
      </c>
    </row>
    <row r="29" spans="1:4" x14ac:dyDescent="0.25">
      <c r="A29" s="1" t="s">
        <v>31</v>
      </c>
      <c r="B29" s="1" t="s">
        <v>48</v>
      </c>
      <c r="C29">
        <v>9569</v>
      </c>
      <c r="D29" s="1" t="s">
        <v>6</v>
      </c>
    </row>
    <row r="30" spans="1:4" x14ac:dyDescent="0.25">
      <c r="A30" s="1" t="s">
        <v>31</v>
      </c>
      <c r="B30" s="1" t="s">
        <v>49</v>
      </c>
      <c r="C30">
        <v>9761</v>
      </c>
      <c r="D30" s="1" t="s">
        <v>6</v>
      </c>
    </row>
    <row r="31" spans="1:4" x14ac:dyDescent="0.25">
      <c r="A31" s="1" t="s">
        <v>50</v>
      </c>
      <c r="B31" s="1" t="s">
        <v>51</v>
      </c>
      <c r="C31">
        <v>9835</v>
      </c>
      <c r="D31" s="1" t="s">
        <v>45</v>
      </c>
    </row>
    <row r="32" spans="1:4" x14ac:dyDescent="0.25">
      <c r="A32" s="1" t="s">
        <v>35</v>
      </c>
      <c r="B32" s="1" t="s">
        <v>52</v>
      </c>
      <c r="C32">
        <v>11185</v>
      </c>
      <c r="D32" s="1" t="s">
        <v>6</v>
      </c>
    </row>
    <row r="33" spans="1:4" x14ac:dyDescent="0.25">
      <c r="A33" s="1" t="s">
        <v>4</v>
      </c>
      <c r="B33" s="1" t="s">
        <v>53</v>
      </c>
      <c r="C33">
        <v>11337</v>
      </c>
      <c r="D33" s="1" t="s">
        <v>45</v>
      </c>
    </row>
    <row r="34" spans="1:4" x14ac:dyDescent="0.25">
      <c r="A34" s="1" t="s">
        <v>9</v>
      </c>
      <c r="B34" s="1" t="s">
        <v>54</v>
      </c>
      <c r="C34">
        <v>11592</v>
      </c>
      <c r="D34" s="1" t="s">
        <v>6</v>
      </c>
    </row>
    <row r="35" spans="1:4" x14ac:dyDescent="0.25">
      <c r="A35" s="1" t="s">
        <v>22</v>
      </c>
      <c r="B35" s="1" t="s">
        <v>55</v>
      </c>
      <c r="C35">
        <v>12698</v>
      </c>
      <c r="D35" s="1" t="s">
        <v>6</v>
      </c>
    </row>
    <row r="36" spans="1:4" x14ac:dyDescent="0.25">
      <c r="A36" s="1" t="s">
        <v>56</v>
      </c>
      <c r="B36" s="1" t="s">
        <v>57</v>
      </c>
      <c r="C36">
        <v>12855</v>
      </c>
      <c r="D36" s="1" t="s">
        <v>45</v>
      </c>
    </row>
    <row r="37" spans="1:4" x14ac:dyDescent="0.25">
      <c r="A37" s="1" t="s">
        <v>37</v>
      </c>
      <c r="B37" s="1" t="s">
        <v>58</v>
      </c>
      <c r="C37">
        <v>13462</v>
      </c>
      <c r="D37" s="1" t="s">
        <v>6</v>
      </c>
    </row>
    <row r="38" spans="1:4" x14ac:dyDescent="0.25">
      <c r="A38" s="1" t="s">
        <v>59</v>
      </c>
      <c r="B38" s="1" t="s">
        <v>60</v>
      </c>
      <c r="C38">
        <v>13798</v>
      </c>
      <c r="D38" s="1" t="s">
        <v>6</v>
      </c>
    </row>
    <row r="39" spans="1:4" x14ac:dyDescent="0.25">
      <c r="A39" s="1" t="s">
        <v>41</v>
      </c>
      <c r="B39" s="1" t="s">
        <v>61</v>
      </c>
      <c r="C39">
        <v>14114</v>
      </c>
      <c r="D39" s="1" t="s">
        <v>6</v>
      </c>
    </row>
    <row r="40" spans="1:4" x14ac:dyDescent="0.25">
      <c r="A40" s="1" t="s">
        <v>62</v>
      </c>
      <c r="B40" s="1" t="s">
        <v>63</v>
      </c>
      <c r="C40">
        <v>14351</v>
      </c>
      <c r="D40" s="1" t="s">
        <v>6</v>
      </c>
    </row>
    <row r="41" spans="1:4" x14ac:dyDescent="0.25">
      <c r="A41" s="1" t="s">
        <v>11</v>
      </c>
      <c r="B41" s="1" t="s">
        <v>64</v>
      </c>
      <c r="C41">
        <v>14690</v>
      </c>
      <c r="D41" s="1" t="s">
        <v>6</v>
      </c>
    </row>
    <row r="42" spans="1:4" x14ac:dyDescent="0.25">
      <c r="A42" s="1" t="s">
        <v>35</v>
      </c>
      <c r="B42" s="1" t="s">
        <v>65</v>
      </c>
      <c r="C42">
        <v>14785</v>
      </c>
      <c r="D42" s="1" t="s">
        <v>45</v>
      </c>
    </row>
    <row r="43" spans="1:4" x14ac:dyDescent="0.25">
      <c r="A43" s="1" t="s">
        <v>24</v>
      </c>
      <c r="B43" s="1" t="s">
        <v>66</v>
      </c>
      <c r="C43">
        <v>15245</v>
      </c>
      <c r="D43" s="1" t="s">
        <v>6</v>
      </c>
    </row>
    <row r="44" spans="1:4" x14ac:dyDescent="0.25">
      <c r="A44" s="1" t="s">
        <v>67</v>
      </c>
      <c r="B44" s="1" t="s">
        <v>68</v>
      </c>
      <c r="C44">
        <v>15467</v>
      </c>
      <c r="D44" s="1" t="s">
        <v>6</v>
      </c>
    </row>
    <row r="45" spans="1:4" x14ac:dyDescent="0.25">
      <c r="A45" s="1" t="s">
        <v>35</v>
      </c>
      <c r="B45" s="1" t="s">
        <v>69</v>
      </c>
      <c r="C45">
        <v>15943</v>
      </c>
      <c r="D45" s="1" t="s">
        <v>6</v>
      </c>
    </row>
    <row r="46" spans="1:4" x14ac:dyDescent="0.25">
      <c r="A46" s="1" t="s">
        <v>7</v>
      </c>
      <c r="B46" s="1" t="s">
        <v>70</v>
      </c>
      <c r="C46">
        <v>16767</v>
      </c>
      <c r="D46" s="1" t="s">
        <v>45</v>
      </c>
    </row>
    <row r="47" spans="1:4" x14ac:dyDescent="0.25">
      <c r="A47" s="1" t="s">
        <v>9</v>
      </c>
      <c r="B47" s="1" t="s">
        <v>71</v>
      </c>
      <c r="C47">
        <v>16774</v>
      </c>
      <c r="D47" s="1" t="s">
        <v>6</v>
      </c>
    </row>
    <row r="48" spans="1:4" x14ac:dyDescent="0.25">
      <c r="A48" s="1" t="s">
        <v>41</v>
      </c>
      <c r="B48" s="1" t="s">
        <v>72</v>
      </c>
      <c r="C48">
        <v>16919</v>
      </c>
      <c r="D48" s="1" t="s">
        <v>6</v>
      </c>
    </row>
    <row r="49" spans="1:4" x14ac:dyDescent="0.25">
      <c r="A49" s="1" t="s">
        <v>24</v>
      </c>
      <c r="B49" s="1" t="s">
        <v>73</v>
      </c>
      <c r="C49">
        <v>16957</v>
      </c>
      <c r="D49" s="1" t="s">
        <v>6</v>
      </c>
    </row>
    <row r="50" spans="1:4" x14ac:dyDescent="0.25">
      <c r="A50" s="1" t="s">
        <v>46</v>
      </c>
      <c r="B50" s="1" t="s">
        <v>74</v>
      </c>
      <c r="C50">
        <v>17527</v>
      </c>
      <c r="D50" s="1" t="s">
        <v>6</v>
      </c>
    </row>
    <row r="51" spans="1:4" x14ac:dyDescent="0.25">
      <c r="A51" s="1" t="s">
        <v>24</v>
      </c>
      <c r="B51" s="1" t="s">
        <v>75</v>
      </c>
      <c r="C51">
        <v>17531</v>
      </c>
      <c r="D51" s="1" t="s">
        <v>6</v>
      </c>
    </row>
    <row r="52" spans="1:4" x14ac:dyDescent="0.25">
      <c r="A52" s="1" t="s">
        <v>76</v>
      </c>
      <c r="B52" s="1" t="s">
        <v>77</v>
      </c>
      <c r="C52">
        <v>17947</v>
      </c>
      <c r="D52" s="1" t="s">
        <v>6</v>
      </c>
    </row>
    <row r="53" spans="1:4" x14ac:dyDescent="0.25">
      <c r="A53" s="1" t="s">
        <v>9</v>
      </c>
      <c r="B53" s="1" t="s">
        <v>78</v>
      </c>
      <c r="C53">
        <v>18392</v>
      </c>
      <c r="D53" s="1" t="s">
        <v>6</v>
      </c>
    </row>
    <row r="54" spans="1:4" x14ac:dyDescent="0.25">
      <c r="A54" s="1" t="s">
        <v>15</v>
      </c>
      <c r="B54" s="1" t="s">
        <v>79</v>
      </c>
      <c r="C54">
        <v>18780</v>
      </c>
      <c r="D54" s="1" t="s">
        <v>6</v>
      </c>
    </row>
    <row r="55" spans="1:4" x14ac:dyDescent="0.25">
      <c r="A55" s="1" t="s">
        <v>24</v>
      </c>
      <c r="B55" s="1" t="s">
        <v>80</v>
      </c>
      <c r="C55">
        <v>18969</v>
      </c>
      <c r="D55" s="1" t="s">
        <v>6</v>
      </c>
    </row>
    <row r="56" spans="1:4" x14ac:dyDescent="0.25">
      <c r="A56" s="1" t="s">
        <v>46</v>
      </c>
      <c r="B56" s="1" t="s">
        <v>81</v>
      </c>
      <c r="C56">
        <v>19747</v>
      </c>
      <c r="D56" s="1" t="s">
        <v>6</v>
      </c>
    </row>
    <row r="57" spans="1:4" x14ac:dyDescent="0.25">
      <c r="A57" s="1" t="s">
        <v>82</v>
      </c>
      <c r="B57" s="1" t="s">
        <v>83</v>
      </c>
      <c r="C57">
        <v>19911</v>
      </c>
      <c r="D57" s="1" t="s">
        <v>6</v>
      </c>
    </row>
    <row r="58" spans="1:4" x14ac:dyDescent="0.25">
      <c r="A58" s="1" t="s">
        <v>11</v>
      </c>
      <c r="B58" s="1" t="s">
        <v>84</v>
      </c>
      <c r="C58">
        <v>20017</v>
      </c>
      <c r="D58" s="1" t="s">
        <v>45</v>
      </c>
    </row>
    <row r="59" spans="1:4" x14ac:dyDescent="0.25">
      <c r="A59" s="1" t="s">
        <v>62</v>
      </c>
      <c r="B59" s="1" t="s">
        <v>85</v>
      </c>
      <c r="C59">
        <v>20380</v>
      </c>
      <c r="D59" s="1" t="s">
        <v>45</v>
      </c>
    </row>
    <row r="60" spans="1:4" x14ac:dyDescent="0.25">
      <c r="A60" s="1" t="s">
        <v>15</v>
      </c>
      <c r="B60" s="1" t="s">
        <v>86</v>
      </c>
      <c r="C60">
        <v>20397</v>
      </c>
      <c r="D60" s="1" t="s">
        <v>6</v>
      </c>
    </row>
    <row r="61" spans="1:4" x14ac:dyDescent="0.25">
      <c r="A61" s="1" t="s">
        <v>76</v>
      </c>
      <c r="B61" s="1" t="s">
        <v>87</v>
      </c>
      <c r="C61">
        <v>21855</v>
      </c>
      <c r="D61" s="1" t="s">
        <v>6</v>
      </c>
    </row>
    <row r="62" spans="1:4" x14ac:dyDescent="0.25">
      <c r="A62" s="1" t="s">
        <v>59</v>
      </c>
      <c r="B62" s="1" t="s">
        <v>88</v>
      </c>
      <c r="C62">
        <v>22925</v>
      </c>
      <c r="D62" s="1" t="s">
        <v>45</v>
      </c>
    </row>
    <row r="63" spans="1:4" x14ac:dyDescent="0.25">
      <c r="A63" s="1" t="s">
        <v>89</v>
      </c>
      <c r="B63" s="1" t="s">
        <v>90</v>
      </c>
      <c r="C63">
        <v>23713</v>
      </c>
      <c r="D63" s="1" t="s">
        <v>6</v>
      </c>
    </row>
    <row r="64" spans="1:4" x14ac:dyDescent="0.25">
      <c r="A64" s="1" t="s">
        <v>22</v>
      </c>
      <c r="B64" s="1" t="s">
        <v>91</v>
      </c>
      <c r="C64">
        <v>24072</v>
      </c>
      <c r="D64" s="1" t="s">
        <v>6</v>
      </c>
    </row>
    <row r="65" spans="1:4" x14ac:dyDescent="0.25">
      <c r="A65" s="1" t="s">
        <v>19</v>
      </c>
      <c r="B65" s="1" t="s">
        <v>92</v>
      </c>
      <c r="C65">
        <v>24155</v>
      </c>
      <c r="D65" s="1" t="s">
        <v>45</v>
      </c>
    </row>
    <row r="66" spans="1:4" x14ac:dyDescent="0.25">
      <c r="A66" s="1" t="s">
        <v>11</v>
      </c>
      <c r="B66" s="1" t="s">
        <v>93</v>
      </c>
      <c r="C66">
        <v>24361</v>
      </c>
      <c r="D66" s="1" t="s">
        <v>45</v>
      </c>
    </row>
    <row r="67" spans="1:4" x14ac:dyDescent="0.25">
      <c r="A67" s="1" t="s">
        <v>28</v>
      </c>
      <c r="B67" s="1" t="s">
        <v>94</v>
      </c>
      <c r="C67">
        <v>24546</v>
      </c>
      <c r="D67" s="1" t="s">
        <v>6</v>
      </c>
    </row>
    <row r="68" spans="1:4" x14ac:dyDescent="0.25">
      <c r="A68" s="1" t="s">
        <v>76</v>
      </c>
      <c r="B68" s="1" t="s">
        <v>95</v>
      </c>
      <c r="C68">
        <v>24629</v>
      </c>
      <c r="D68" s="1" t="s">
        <v>6</v>
      </c>
    </row>
    <row r="69" spans="1:4" x14ac:dyDescent="0.25">
      <c r="A69" s="1" t="s">
        <v>50</v>
      </c>
      <c r="B69" s="1" t="s">
        <v>96</v>
      </c>
      <c r="C69">
        <v>25106</v>
      </c>
      <c r="D69" s="1" t="s">
        <v>45</v>
      </c>
    </row>
    <row r="70" spans="1:4" x14ac:dyDescent="0.25">
      <c r="A70" s="1" t="s">
        <v>4</v>
      </c>
      <c r="B70" s="1" t="s">
        <v>97</v>
      </c>
      <c r="C70">
        <v>26232</v>
      </c>
      <c r="D70" s="1" t="s">
        <v>6</v>
      </c>
    </row>
    <row r="71" spans="1:4" x14ac:dyDescent="0.25">
      <c r="A71" s="1" t="s">
        <v>76</v>
      </c>
      <c r="B71" s="1" t="s">
        <v>98</v>
      </c>
      <c r="C71">
        <v>26402</v>
      </c>
      <c r="D71" s="1" t="s">
        <v>6</v>
      </c>
    </row>
    <row r="72" spans="1:4" x14ac:dyDescent="0.25">
      <c r="A72" s="1" t="s">
        <v>62</v>
      </c>
      <c r="B72" s="1" t="s">
        <v>99</v>
      </c>
      <c r="C72">
        <v>26529</v>
      </c>
      <c r="D72" s="1" t="s">
        <v>6</v>
      </c>
    </row>
    <row r="73" spans="1:4" x14ac:dyDescent="0.25">
      <c r="A73" s="1" t="s">
        <v>100</v>
      </c>
      <c r="B73" s="1" t="s">
        <v>101</v>
      </c>
      <c r="C73">
        <v>27308</v>
      </c>
      <c r="D73" s="1" t="s">
        <v>45</v>
      </c>
    </row>
    <row r="74" spans="1:4" x14ac:dyDescent="0.25">
      <c r="A74" s="1" t="s">
        <v>9</v>
      </c>
      <c r="B74" s="1" t="s">
        <v>102</v>
      </c>
      <c r="C74">
        <v>27602</v>
      </c>
      <c r="D74" s="1" t="s">
        <v>6</v>
      </c>
    </row>
    <row r="75" spans="1:4" x14ac:dyDescent="0.25">
      <c r="A75" s="1" t="s">
        <v>62</v>
      </c>
      <c r="B75" s="1" t="s">
        <v>103</v>
      </c>
      <c r="C75">
        <v>27609</v>
      </c>
      <c r="D75" s="1" t="s">
        <v>45</v>
      </c>
    </row>
    <row r="76" spans="1:4" x14ac:dyDescent="0.25">
      <c r="A76" s="1" t="s">
        <v>104</v>
      </c>
      <c r="B76" s="1" t="s">
        <v>105</v>
      </c>
      <c r="C76">
        <v>27851</v>
      </c>
      <c r="D76" s="1" t="s">
        <v>6</v>
      </c>
    </row>
    <row r="77" spans="1:4" x14ac:dyDescent="0.25">
      <c r="A77" s="1" t="s">
        <v>9</v>
      </c>
      <c r="B77" s="1" t="s">
        <v>106</v>
      </c>
      <c r="C77">
        <v>28976</v>
      </c>
      <c r="D77" s="1" t="s">
        <v>45</v>
      </c>
    </row>
    <row r="78" spans="1:4" x14ac:dyDescent="0.25">
      <c r="A78" s="1" t="s">
        <v>107</v>
      </c>
      <c r="B78" s="1" t="s">
        <v>108</v>
      </c>
      <c r="C78">
        <v>29450</v>
      </c>
      <c r="D78" s="1" t="s">
        <v>6</v>
      </c>
    </row>
    <row r="79" spans="1:4" x14ac:dyDescent="0.25">
      <c r="A79" s="1" t="s">
        <v>37</v>
      </c>
      <c r="B79" s="1" t="s">
        <v>109</v>
      </c>
      <c r="C79">
        <v>30696</v>
      </c>
      <c r="D79" s="1" t="s">
        <v>6</v>
      </c>
    </row>
    <row r="80" spans="1:4" x14ac:dyDescent="0.25">
      <c r="A80" s="1" t="s">
        <v>7</v>
      </c>
      <c r="B80" s="1" t="s">
        <v>110</v>
      </c>
      <c r="C80">
        <v>31038</v>
      </c>
      <c r="D80" s="1" t="s">
        <v>45</v>
      </c>
    </row>
    <row r="81" spans="1:4" x14ac:dyDescent="0.25">
      <c r="A81" s="1" t="s">
        <v>37</v>
      </c>
      <c r="B81" s="1" t="s">
        <v>111</v>
      </c>
      <c r="C81">
        <v>31148</v>
      </c>
      <c r="D81" s="1" t="s">
        <v>6</v>
      </c>
    </row>
    <row r="82" spans="1:4" x14ac:dyDescent="0.25">
      <c r="A82" s="1" t="s">
        <v>76</v>
      </c>
      <c r="B82" s="1" t="s">
        <v>112</v>
      </c>
      <c r="C82">
        <v>32299</v>
      </c>
      <c r="D82" s="1" t="s">
        <v>6</v>
      </c>
    </row>
    <row r="83" spans="1:4" x14ac:dyDescent="0.25">
      <c r="A83" s="1" t="s">
        <v>37</v>
      </c>
      <c r="B83" s="1" t="s">
        <v>113</v>
      </c>
      <c r="C83">
        <v>32305.999999999996</v>
      </c>
      <c r="D83" s="1" t="s">
        <v>6</v>
      </c>
    </row>
    <row r="84" spans="1:4" x14ac:dyDescent="0.25">
      <c r="A84" s="1" t="s">
        <v>19</v>
      </c>
      <c r="B84" s="1" t="s">
        <v>114</v>
      </c>
      <c r="C84">
        <v>32734</v>
      </c>
      <c r="D84" s="1" t="s">
        <v>6</v>
      </c>
    </row>
    <row r="85" spans="1:4" x14ac:dyDescent="0.25">
      <c r="A85" s="1" t="s">
        <v>37</v>
      </c>
      <c r="B85" s="1" t="s">
        <v>115</v>
      </c>
      <c r="C85">
        <v>32775</v>
      </c>
      <c r="D85" s="1" t="s">
        <v>6</v>
      </c>
    </row>
    <row r="86" spans="1:4" x14ac:dyDescent="0.25">
      <c r="A86" s="1" t="s">
        <v>116</v>
      </c>
      <c r="B86" s="1" t="s">
        <v>117</v>
      </c>
      <c r="C86">
        <v>33028</v>
      </c>
      <c r="D86" s="1" t="s">
        <v>45</v>
      </c>
    </row>
    <row r="87" spans="1:4" x14ac:dyDescent="0.25">
      <c r="A87" s="1" t="s">
        <v>50</v>
      </c>
      <c r="B87" s="1" t="s">
        <v>118</v>
      </c>
      <c r="C87">
        <v>33269</v>
      </c>
      <c r="D87" s="1" t="s">
        <v>6</v>
      </c>
    </row>
    <row r="88" spans="1:4" x14ac:dyDescent="0.25">
      <c r="A88" s="1" t="s">
        <v>119</v>
      </c>
      <c r="B88" s="1" t="s">
        <v>120</v>
      </c>
      <c r="C88">
        <v>35068</v>
      </c>
      <c r="D88" s="1" t="s">
        <v>6</v>
      </c>
    </row>
    <row r="89" spans="1:4" x14ac:dyDescent="0.25">
      <c r="A89" s="1" t="s">
        <v>82</v>
      </c>
      <c r="B89" s="1" t="s">
        <v>121</v>
      </c>
      <c r="C89">
        <v>35945</v>
      </c>
      <c r="D89" s="1" t="s">
        <v>6</v>
      </c>
    </row>
    <row r="90" spans="1:4" x14ac:dyDescent="0.25">
      <c r="A90" s="1" t="s">
        <v>11</v>
      </c>
      <c r="B90" s="1" t="s">
        <v>122</v>
      </c>
      <c r="C90">
        <v>38554</v>
      </c>
      <c r="D90" s="1" t="s">
        <v>6</v>
      </c>
    </row>
    <row r="91" spans="1:4" x14ac:dyDescent="0.25">
      <c r="A91" s="1" t="s">
        <v>4</v>
      </c>
      <c r="B91" s="1" t="s">
        <v>123</v>
      </c>
      <c r="C91">
        <v>39348</v>
      </c>
      <c r="D91" s="1" t="s">
        <v>45</v>
      </c>
    </row>
    <row r="92" spans="1:4" x14ac:dyDescent="0.25">
      <c r="A92" s="1" t="s">
        <v>104</v>
      </c>
      <c r="B92" s="1" t="s">
        <v>124</v>
      </c>
      <c r="C92">
        <v>39350</v>
      </c>
      <c r="D92" s="1" t="s">
        <v>6</v>
      </c>
    </row>
    <row r="93" spans="1:4" x14ac:dyDescent="0.25">
      <c r="A93" s="1" t="s">
        <v>41</v>
      </c>
      <c r="B93" s="1" t="s">
        <v>125</v>
      </c>
      <c r="C93">
        <v>39384</v>
      </c>
      <c r="D93" s="1" t="s">
        <v>6</v>
      </c>
    </row>
    <row r="94" spans="1:4" x14ac:dyDescent="0.25">
      <c r="A94" s="1" t="s">
        <v>82</v>
      </c>
      <c r="B94" s="1" t="s">
        <v>126</v>
      </c>
      <c r="C94">
        <v>39572</v>
      </c>
      <c r="D94" s="1" t="s">
        <v>45</v>
      </c>
    </row>
    <row r="95" spans="1:4" x14ac:dyDescent="0.25">
      <c r="A95" s="1" t="s">
        <v>107</v>
      </c>
      <c r="B95" s="1" t="s">
        <v>127</v>
      </c>
      <c r="C95">
        <v>41184</v>
      </c>
      <c r="D95" s="1" t="s">
        <v>6</v>
      </c>
    </row>
    <row r="96" spans="1:4" x14ac:dyDescent="0.25">
      <c r="A96" s="1" t="s">
        <v>4</v>
      </c>
      <c r="B96" s="1" t="s">
        <v>128</v>
      </c>
      <c r="C96">
        <v>42541</v>
      </c>
      <c r="D96" s="1" t="s">
        <v>6</v>
      </c>
    </row>
    <row r="97" spans="1:4" x14ac:dyDescent="0.25">
      <c r="A97" s="1" t="s">
        <v>100</v>
      </c>
      <c r="B97" s="1" t="s">
        <v>129</v>
      </c>
      <c r="C97">
        <v>42574</v>
      </c>
      <c r="D97" s="1" t="s">
        <v>45</v>
      </c>
    </row>
    <row r="98" spans="1:4" x14ac:dyDescent="0.25">
      <c r="A98" s="1" t="s">
        <v>76</v>
      </c>
      <c r="B98" s="1" t="s">
        <v>130</v>
      </c>
      <c r="C98">
        <v>42593</v>
      </c>
      <c r="D98" s="1" t="s">
        <v>6</v>
      </c>
    </row>
    <row r="99" spans="1:4" x14ac:dyDescent="0.25">
      <c r="A99" s="1" t="s">
        <v>100</v>
      </c>
      <c r="B99" s="1" t="s">
        <v>131</v>
      </c>
      <c r="C99">
        <v>42643</v>
      </c>
      <c r="D99" s="1" t="s">
        <v>6</v>
      </c>
    </row>
    <row r="100" spans="1:4" x14ac:dyDescent="0.25">
      <c r="A100" s="1" t="s">
        <v>116</v>
      </c>
      <c r="B100" s="1" t="s">
        <v>132</v>
      </c>
      <c r="C100">
        <v>47107</v>
      </c>
      <c r="D100" s="1" t="s">
        <v>6</v>
      </c>
    </row>
    <row r="101" spans="1:4" x14ac:dyDescent="0.25">
      <c r="A101" s="1" t="s">
        <v>59</v>
      </c>
      <c r="B101" s="1" t="s">
        <v>133</v>
      </c>
      <c r="C101">
        <v>48911</v>
      </c>
      <c r="D101" s="1" t="s">
        <v>6</v>
      </c>
    </row>
    <row r="102" spans="1:4" x14ac:dyDescent="0.25">
      <c r="A102" s="1" t="s">
        <v>31</v>
      </c>
      <c r="B102" s="1" t="s">
        <v>134</v>
      </c>
      <c r="C102">
        <v>49463</v>
      </c>
      <c r="D102" s="1" t="s">
        <v>6</v>
      </c>
    </row>
    <row r="103" spans="1:4" x14ac:dyDescent="0.25">
      <c r="A103" s="1" t="s">
        <v>28</v>
      </c>
      <c r="B103" s="1" t="s">
        <v>135</v>
      </c>
      <c r="C103">
        <v>49989</v>
      </c>
      <c r="D103" s="1" t="s">
        <v>6</v>
      </c>
    </row>
    <row r="104" spans="1:4" x14ac:dyDescent="0.25">
      <c r="A104" s="1" t="s">
        <v>31</v>
      </c>
      <c r="B104" s="1" t="s">
        <v>136</v>
      </c>
      <c r="C104">
        <v>51102</v>
      </c>
      <c r="D104" s="1" t="s">
        <v>6</v>
      </c>
    </row>
    <row r="105" spans="1:4" x14ac:dyDescent="0.25">
      <c r="A105" s="1" t="s">
        <v>22</v>
      </c>
      <c r="B105" s="1" t="s">
        <v>137</v>
      </c>
      <c r="C105">
        <v>51238</v>
      </c>
      <c r="D105" s="1" t="s">
        <v>45</v>
      </c>
    </row>
    <row r="106" spans="1:4" x14ac:dyDescent="0.25">
      <c r="A106" s="1" t="s">
        <v>82</v>
      </c>
      <c r="B106" s="1" t="s">
        <v>138</v>
      </c>
      <c r="C106">
        <v>51645</v>
      </c>
      <c r="D106" s="1" t="s">
        <v>6</v>
      </c>
    </row>
    <row r="107" spans="1:4" x14ac:dyDescent="0.25">
      <c r="A107" s="1" t="s">
        <v>37</v>
      </c>
      <c r="B107" s="1" t="s">
        <v>139</v>
      </c>
      <c r="C107">
        <v>53480</v>
      </c>
      <c r="D107" s="1" t="s">
        <v>45</v>
      </c>
    </row>
    <row r="108" spans="1:4" x14ac:dyDescent="0.25">
      <c r="A108" s="1" t="s">
        <v>100</v>
      </c>
      <c r="B108" s="1" t="s">
        <v>140</v>
      </c>
      <c r="C108">
        <v>54158</v>
      </c>
      <c r="D108" s="1" t="s">
        <v>45</v>
      </c>
    </row>
    <row r="109" spans="1:4" x14ac:dyDescent="0.25">
      <c r="A109" s="1" t="s">
        <v>141</v>
      </c>
      <c r="B109" s="1" t="s">
        <v>142</v>
      </c>
      <c r="C109">
        <v>55557</v>
      </c>
      <c r="D109" s="1" t="s">
        <v>45</v>
      </c>
    </row>
    <row r="110" spans="1:4" x14ac:dyDescent="0.25">
      <c r="A110" s="1" t="s">
        <v>4</v>
      </c>
      <c r="B110" s="1" t="s">
        <v>143</v>
      </c>
      <c r="C110">
        <v>55616</v>
      </c>
      <c r="D110" s="1" t="s">
        <v>6</v>
      </c>
    </row>
    <row r="111" spans="1:4" x14ac:dyDescent="0.25">
      <c r="A111" s="1" t="s">
        <v>119</v>
      </c>
      <c r="B111" s="1" t="s">
        <v>144</v>
      </c>
      <c r="C111">
        <v>63403</v>
      </c>
      <c r="D111" s="1" t="s">
        <v>6</v>
      </c>
    </row>
    <row r="112" spans="1:4" x14ac:dyDescent="0.25">
      <c r="A112" s="1" t="s">
        <v>35</v>
      </c>
      <c r="B112" s="1" t="s">
        <v>145</v>
      </c>
      <c r="C112">
        <v>63729</v>
      </c>
      <c r="D112" s="1" t="s">
        <v>6</v>
      </c>
    </row>
    <row r="113" spans="1:4" x14ac:dyDescent="0.25">
      <c r="A113" s="1" t="s">
        <v>50</v>
      </c>
      <c r="B113" s="1" t="s">
        <v>146</v>
      </c>
      <c r="C113">
        <v>63849</v>
      </c>
      <c r="D113" s="1" t="s">
        <v>6</v>
      </c>
    </row>
    <row r="114" spans="1:4" x14ac:dyDescent="0.25">
      <c r="A114" s="1" t="s">
        <v>100</v>
      </c>
      <c r="B114" s="1" t="s">
        <v>147</v>
      </c>
      <c r="C114">
        <v>65004.999999999993</v>
      </c>
      <c r="D114" s="1" t="s">
        <v>45</v>
      </c>
    </row>
    <row r="115" spans="1:4" x14ac:dyDescent="0.25">
      <c r="A115" s="1" t="s">
        <v>50</v>
      </c>
      <c r="B115" s="1" t="s">
        <v>148</v>
      </c>
      <c r="C115">
        <v>65119</v>
      </c>
      <c r="D115" s="1" t="s">
        <v>45</v>
      </c>
    </row>
    <row r="116" spans="1:4" x14ac:dyDescent="0.25">
      <c r="A116" s="1" t="s">
        <v>107</v>
      </c>
      <c r="B116" s="1" t="s">
        <v>149</v>
      </c>
      <c r="C116">
        <v>66692</v>
      </c>
      <c r="D116" s="1" t="s">
        <v>6</v>
      </c>
    </row>
    <row r="117" spans="1:4" x14ac:dyDescent="0.25">
      <c r="A117" s="1" t="s">
        <v>62</v>
      </c>
      <c r="B117" s="1" t="s">
        <v>150</v>
      </c>
      <c r="C117">
        <v>67956</v>
      </c>
      <c r="D117" s="1" t="s">
        <v>6</v>
      </c>
    </row>
    <row r="118" spans="1:4" x14ac:dyDescent="0.25">
      <c r="A118" s="1" t="s">
        <v>50</v>
      </c>
      <c r="B118" s="1" t="s">
        <v>151</v>
      </c>
      <c r="C118">
        <v>68411</v>
      </c>
      <c r="D118" s="1" t="s">
        <v>45</v>
      </c>
    </row>
    <row r="119" spans="1:4" x14ac:dyDescent="0.25">
      <c r="A119" s="1" t="s">
        <v>119</v>
      </c>
      <c r="B119" s="1" t="s">
        <v>152</v>
      </c>
      <c r="C119">
        <v>70227</v>
      </c>
      <c r="D119" s="1" t="s">
        <v>6</v>
      </c>
    </row>
    <row r="120" spans="1:4" x14ac:dyDescent="0.25">
      <c r="A120" s="1" t="s">
        <v>7</v>
      </c>
      <c r="B120" s="1" t="s">
        <v>153</v>
      </c>
      <c r="C120">
        <v>71186</v>
      </c>
      <c r="D120" s="1" t="s">
        <v>6</v>
      </c>
    </row>
    <row r="121" spans="1:4" x14ac:dyDescent="0.25">
      <c r="A121" s="1" t="s">
        <v>56</v>
      </c>
      <c r="B121" s="1" t="s">
        <v>154</v>
      </c>
      <c r="C121">
        <v>73203</v>
      </c>
      <c r="D121" s="1" t="s">
        <v>45</v>
      </c>
    </row>
    <row r="122" spans="1:4" x14ac:dyDescent="0.25">
      <c r="A122" s="1" t="s">
        <v>56</v>
      </c>
      <c r="B122" s="1" t="s">
        <v>155</v>
      </c>
      <c r="C122">
        <v>76029</v>
      </c>
      <c r="D122" s="1" t="s">
        <v>45</v>
      </c>
    </row>
    <row r="123" spans="1:4" x14ac:dyDescent="0.25">
      <c r="A123" s="1" t="s">
        <v>7</v>
      </c>
      <c r="B123" s="1" t="s">
        <v>114</v>
      </c>
      <c r="C123">
        <v>76034</v>
      </c>
      <c r="D123" s="1" t="s">
        <v>6</v>
      </c>
    </row>
    <row r="124" spans="1:4" x14ac:dyDescent="0.25">
      <c r="A124" s="1" t="s">
        <v>100</v>
      </c>
      <c r="B124" s="1" t="s">
        <v>156</v>
      </c>
      <c r="C124">
        <v>79853</v>
      </c>
      <c r="D124" s="1" t="s">
        <v>6</v>
      </c>
    </row>
    <row r="125" spans="1:4" x14ac:dyDescent="0.25">
      <c r="A125" s="1" t="s">
        <v>11</v>
      </c>
      <c r="B125" s="1" t="s">
        <v>157</v>
      </c>
      <c r="C125">
        <v>80255</v>
      </c>
      <c r="D125" s="1" t="s">
        <v>6</v>
      </c>
    </row>
    <row r="126" spans="1:4" x14ac:dyDescent="0.25">
      <c r="A126" s="1" t="s">
        <v>141</v>
      </c>
      <c r="B126" s="1" t="s">
        <v>158</v>
      </c>
      <c r="C126">
        <v>80556</v>
      </c>
      <c r="D126" s="1" t="s">
        <v>45</v>
      </c>
    </row>
    <row r="127" spans="1:4" x14ac:dyDescent="0.25">
      <c r="A127" s="1" t="s">
        <v>28</v>
      </c>
      <c r="B127" s="1" t="s">
        <v>159</v>
      </c>
      <c r="C127">
        <v>80620</v>
      </c>
      <c r="D127" s="1" t="s">
        <v>6</v>
      </c>
    </row>
    <row r="128" spans="1:4" x14ac:dyDescent="0.25">
      <c r="A128" s="1" t="s">
        <v>62</v>
      </c>
      <c r="B128" s="1" t="s">
        <v>160</v>
      </c>
      <c r="C128">
        <v>81174</v>
      </c>
      <c r="D128" s="1" t="s">
        <v>6</v>
      </c>
    </row>
    <row r="129" spans="1:4" x14ac:dyDescent="0.25">
      <c r="A129" s="1" t="s">
        <v>104</v>
      </c>
      <c r="B129" s="1" t="s">
        <v>161</v>
      </c>
      <c r="C129">
        <v>83257</v>
      </c>
      <c r="D129" s="1" t="s">
        <v>6</v>
      </c>
    </row>
    <row r="130" spans="1:4" x14ac:dyDescent="0.25">
      <c r="A130" s="1" t="s">
        <v>31</v>
      </c>
      <c r="B130" s="1" t="s">
        <v>162</v>
      </c>
      <c r="C130">
        <v>83721</v>
      </c>
      <c r="D130" s="1" t="s">
        <v>6</v>
      </c>
    </row>
    <row r="131" spans="1:4" x14ac:dyDescent="0.25">
      <c r="A131" s="1" t="s">
        <v>50</v>
      </c>
      <c r="B131" s="1" t="s">
        <v>163</v>
      </c>
      <c r="C131">
        <v>84087</v>
      </c>
      <c r="D131" s="1" t="s">
        <v>45</v>
      </c>
    </row>
    <row r="132" spans="1:4" x14ac:dyDescent="0.25">
      <c r="A132" s="1" t="s">
        <v>7</v>
      </c>
      <c r="B132" s="1" t="s">
        <v>164</v>
      </c>
      <c r="C132">
        <v>88028</v>
      </c>
      <c r="D132" s="1" t="s">
        <v>6</v>
      </c>
    </row>
    <row r="133" spans="1:4" x14ac:dyDescent="0.25">
      <c r="A133" s="1" t="s">
        <v>100</v>
      </c>
      <c r="B133" s="1" t="s">
        <v>165</v>
      </c>
      <c r="C133">
        <v>88094</v>
      </c>
      <c r="D133" s="1" t="s">
        <v>6</v>
      </c>
    </row>
    <row r="134" spans="1:4" x14ac:dyDescent="0.25">
      <c r="A134" s="1" t="s">
        <v>104</v>
      </c>
      <c r="B134" s="1" t="s">
        <v>166</v>
      </c>
      <c r="C134">
        <v>91561</v>
      </c>
      <c r="D134" s="1" t="s">
        <v>6</v>
      </c>
    </row>
    <row r="135" spans="1:4" x14ac:dyDescent="0.25">
      <c r="A135" s="1" t="s">
        <v>82</v>
      </c>
      <c r="B135" s="1" t="s">
        <v>167</v>
      </c>
      <c r="C135">
        <v>92364</v>
      </c>
      <c r="D135" s="1" t="s">
        <v>6</v>
      </c>
    </row>
    <row r="136" spans="1:4" x14ac:dyDescent="0.25">
      <c r="A136" s="1" t="s">
        <v>7</v>
      </c>
      <c r="B136" s="1" t="s">
        <v>168</v>
      </c>
      <c r="C136">
        <v>101323</v>
      </c>
      <c r="D136" s="1" t="s">
        <v>45</v>
      </c>
    </row>
    <row r="137" spans="1:4" x14ac:dyDescent="0.25">
      <c r="A137" s="1" t="s">
        <v>76</v>
      </c>
      <c r="B137" s="1" t="s">
        <v>169</v>
      </c>
      <c r="C137">
        <v>107995</v>
      </c>
      <c r="D137" s="1" t="s">
        <v>6</v>
      </c>
    </row>
    <row r="138" spans="1:4" x14ac:dyDescent="0.25">
      <c r="A138" s="1" t="s">
        <v>7</v>
      </c>
      <c r="B138" s="1" t="s">
        <v>170</v>
      </c>
      <c r="C138">
        <v>111313</v>
      </c>
      <c r="D138" s="1" t="s">
        <v>45</v>
      </c>
    </row>
    <row r="139" spans="1:4" x14ac:dyDescent="0.25">
      <c r="A139" s="1" t="s">
        <v>119</v>
      </c>
      <c r="B139" s="1" t="s">
        <v>171</v>
      </c>
      <c r="C139">
        <v>113369</v>
      </c>
      <c r="D139" s="1" t="s">
        <v>6</v>
      </c>
    </row>
    <row r="140" spans="1:4" x14ac:dyDescent="0.25">
      <c r="A140" s="1" t="s">
        <v>119</v>
      </c>
      <c r="B140" s="1" t="s">
        <v>172</v>
      </c>
      <c r="C140">
        <v>125338</v>
      </c>
      <c r="D140" s="1" t="s">
        <v>45</v>
      </c>
    </row>
    <row r="141" spans="1:4" x14ac:dyDescent="0.25">
      <c r="A141" s="1" t="s">
        <v>82</v>
      </c>
      <c r="B141" s="1" t="s">
        <v>173</v>
      </c>
      <c r="C141">
        <v>131097</v>
      </c>
      <c r="D141" s="1" t="s">
        <v>6</v>
      </c>
    </row>
    <row r="142" spans="1:4" x14ac:dyDescent="0.25">
      <c r="A142" s="1" t="s">
        <v>76</v>
      </c>
      <c r="B142" s="1" t="s">
        <v>174</v>
      </c>
      <c r="C142">
        <v>135126</v>
      </c>
      <c r="D142" s="1" t="s">
        <v>6</v>
      </c>
    </row>
    <row r="143" spans="1:4" x14ac:dyDescent="0.25">
      <c r="A143" s="1" t="s">
        <v>50</v>
      </c>
      <c r="B143" s="1" t="s">
        <v>175</v>
      </c>
      <c r="C143">
        <v>142535</v>
      </c>
      <c r="D143" s="1" t="s">
        <v>6</v>
      </c>
    </row>
    <row r="144" spans="1:4" x14ac:dyDescent="0.25">
      <c r="A144" s="1" t="s">
        <v>76</v>
      </c>
      <c r="B144" s="1" t="s">
        <v>176</v>
      </c>
      <c r="C144">
        <v>145519</v>
      </c>
      <c r="D144" s="1" t="s">
        <v>6</v>
      </c>
    </row>
    <row r="145" spans="1:4" x14ac:dyDescent="0.25">
      <c r="A145" s="1" t="s">
        <v>119</v>
      </c>
      <c r="B145" s="1" t="s">
        <v>177</v>
      </c>
      <c r="C145">
        <v>155787</v>
      </c>
      <c r="D145" s="1" t="s">
        <v>45</v>
      </c>
    </row>
    <row r="146" spans="1:4" x14ac:dyDescent="0.25">
      <c r="A146" s="1" t="s">
        <v>141</v>
      </c>
      <c r="B146" s="1" t="s">
        <v>178</v>
      </c>
      <c r="C146">
        <v>157040</v>
      </c>
      <c r="D146" s="1" t="s">
        <v>45</v>
      </c>
    </row>
    <row r="147" spans="1:4" x14ac:dyDescent="0.25">
      <c r="A147" s="1" t="s">
        <v>119</v>
      </c>
      <c r="B147" s="1" t="s">
        <v>179</v>
      </c>
      <c r="C147">
        <v>175670</v>
      </c>
      <c r="D147" s="1" t="s">
        <v>6</v>
      </c>
    </row>
    <row r="148" spans="1:4" x14ac:dyDescent="0.25">
      <c r="A148" s="1" t="s">
        <v>7</v>
      </c>
      <c r="B148" s="1" t="s">
        <v>180</v>
      </c>
      <c r="C148">
        <v>181749</v>
      </c>
      <c r="D148" s="1" t="s">
        <v>45</v>
      </c>
    </row>
    <row r="149" spans="1:4" x14ac:dyDescent="0.25">
      <c r="A149" s="1" t="s">
        <v>56</v>
      </c>
      <c r="B149" s="1" t="s">
        <v>181</v>
      </c>
      <c r="C149">
        <v>199685</v>
      </c>
      <c r="D149" s="1" t="s">
        <v>6</v>
      </c>
    </row>
    <row r="150" spans="1:4" x14ac:dyDescent="0.25">
      <c r="A150" s="1" t="s">
        <v>119</v>
      </c>
      <c r="B150" s="1" t="s">
        <v>182</v>
      </c>
      <c r="C150">
        <v>220650</v>
      </c>
      <c r="D150" s="1" t="s">
        <v>45</v>
      </c>
    </row>
    <row r="151" spans="1:4" x14ac:dyDescent="0.25">
      <c r="A151" s="1" t="s">
        <v>7</v>
      </c>
      <c r="B151" s="1" t="s">
        <v>183</v>
      </c>
      <c r="C151">
        <v>227061</v>
      </c>
      <c r="D151" s="1" t="s">
        <v>45</v>
      </c>
    </row>
    <row r="152" spans="1:4" x14ac:dyDescent="0.25">
      <c r="A152" s="1" t="s">
        <v>56</v>
      </c>
      <c r="B152" s="1" t="s">
        <v>184</v>
      </c>
      <c r="C152">
        <v>230902</v>
      </c>
      <c r="D152" s="1" t="s">
        <v>6</v>
      </c>
    </row>
    <row r="153" spans="1:4" x14ac:dyDescent="0.25">
      <c r="A153" s="1" t="s">
        <v>119</v>
      </c>
      <c r="B153" s="1" t="s">
        <v>185</v>
      </c>
      <c r="C153">
        <v>245815</v>
      </c>
      <c r="D153" s="1" t="s">
        <v>6</v>
      </c>
    </row>
    <row r="154" spans="1:4" x14ac:dyDescent="0.25">
      <c r="A154" s="1" t="s">
        <v>50</v>
      </c>
      <c r="B154" s="1" t="s">
        <v>186</v>
      </c>
      <c r="C154">
        <v>247994</v>
      </c>
      <c r="D154" s="1" t="s">
        <v>6</v>
      </c>
    </row>
    <row r="155" spans="1:4" x14ac:dyDescent="0.25">
      <c r="A155" s="1" t="s">
        <v>119</v>
      </c>
      <c r="B155" s="1" t="s">
        <v>187</v>
      </c>
      <c r="C155">
        <v>276747</v>
      </c>
      <c r="D155" s="1" t="s">
        <v>45</v>
      </c>
    </row>
    <row r="156" spans="1:4" x14ac:dyDescent="0.25">
      <c r="A156" s="1" t="s">
        <v>119</v>
      </c>
      <c r="B156" s="1" t="s">
        <v>188</v>
      </c>
      <c r="C156">
        <v>540561</v>
      </c>
      <c r="D156" s="1" t="s">
        <v>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6D10-42F4-413A-ADCD-7BFB53AEB25B}">
  <sheetPr codeName="Sheet3"/>
  <dimension ref="A3:B33"/>
  <sheetViews>
    <sheetView workbookViewId="0">
      <selection activeCell="A4" sqref="A4:B32"/>
    </sheetView>
  </sheetViews>
  <sheetFormatPr defaultRowHeight="15" x14ac:dyDescent="0.25"/>
  <cols>
    <col min="1" max="1" width="13.140625" bestFit="1" customWidth="1"/>
    <col min="2" max="2" width="12" bestFit="1" customWidth="1"/>
  </cols>
  <sheetData>
    <row r="3" spans="1:2" x14ac:dyDescent="0.25">
      <c r="A3" s="4" t="s">
        <v>195</v>
      </c>
      <c r="B3" t="s">
        <v>197</v>
      </c>
    </row>
    <row r="4" spans="1:2" x14ac:dyDescent="0.25">
      <c r="A4" s="5" t="s">
        <v>41</v>
      </c>
      <c r="B4" s="1">
        <v>79005</v>
      </c>
    </row>
    <row r="5" spans="1:2" x14ac:dyDescent="0.25">
      <c r="A5" s="5" t="s">
        <v>15</v>
      </c>
      <c r="B5" s="1">
        <v>40557</v>
      </c>
    </row>
    <row r="6" spans="1:2" x14ac:dyDescent="0.25">
      <c r="A6" s="5" t="s">
        <v>46</v>
      </c>
      <c r="B6" s="1">
        <v>46505</v>
      </c>
    </row>
    <row r="7" spans="1:2" x14ac:dyDescent="0.25">
      <c r="A7" s="5" t="s">
        <v>104</v>
      </c>
      <c r="B7" s="1">
        <v>242019</v>
      </c>
    </row>
    <row r="8" spans="1:2" x14ac:dyDescent="0.25">
      <c r="A8" s="5" t="s">
        <v>35</v>
      </c>
      <c r="B8" s="1">
        <v>112178</v>
      </c>
    </row>
    <row r="9" spans="1:2" x14ac:dyDescent="0.25">
      <c r="A9" s="5" t="s">
        <v>76</v>
      </c>
      <c r="B9" s="1">
        <v>554365</v>
      </c>
    </row>
    <row r="10" spans="1:2" x14ac:dyDescent="0.25">
      <c r="A10" s="5" t="s">
        <v>37</v>
      </c>
      <c r="B10" s="1">
        <v>201721</v>
      </c>
    </row>
    <row r="11" spans="1:2" x14ac:dyDescent="0.25">
      <c r="A11" s="5" t="s">
        <v>7</v>
      </c>
      <c r="B11" s="1">
        <v>910149</v>
      </c>
    </row>
    <row r="12" spans="1:2" x14ac:dyDescent="0.25">
      <c r="A12" s="5" t="s">
        <v>119</v>
      </c>
      <c r="B12" s="1">
        <v>2022635</v>
      </c>
    </row>
    <row r="13" spans="1:2" x14ac:dyDescent="0.25">
      <c r="A13" s="5" t="s">
        <v>56</v>
      </c>
      <c r="B13" s="1">
        <v>592674</v>
      </c>
    </row>
    <row r="14" spans="1:2" x14ac:dyDescent="0.25">
      <c r="A14" s="5" t="s">
        <v>107</v>
      </c>
      <c r="B14" s="1">
        <v>137326</v>
      </c>
    </row>
    <row r="15" spans="1:2" x14ac:dyDescent="0.25">
      <c r="A15" s="5" t="s">
        <v>89</v>
      </c>
      <c r="B15" s="1">
        <v>23713</v>
      </c>
    </row>
    <row r="16" spans="1:2" x14ac:dyDescent="0.25">
      <c r="A16" s="5" t="s">
        <v>67</v>
      </c>
      <c r="B16" s="1">
        <v>15467</v>
      </c>
    </row>
    <row r="17" spans="1:2" x14ac:dyDescent="0.25">
      <c r="A17" s="5" t="s">
        <v>141</v>
      </c>
      <c r="B17" s="1">
        <v>293153</v>
      </c>
    </row>
    <row r="18" spans="1:2" x14ac:dyDescent="0.25">
      <c r="A18" s="5" t="s">
        <v>22</v>
      </c>
      <c r="B18" s="1">
        <v>106843</v>
      </c>
    </row>
    <row r="19" spans="1:2" x14ac:dyDescent="0.25">
      <c r="A19" s="5" t="s">
        <v>59</v>
      </c>
      <c r="B19" s="1">
        <v>85634</v>
      </c>
    </row>
    <row r="20" spans="1:2" x14ac:dyDescent="0.25">
      <c r="A20" s="5" t="s">
        <v>9</v>
      </c>
      <c r="B20" s="1">
        <v>117125</v>
      </c>
    </row>
    <row r="21" spans="1:2" x14ac:dyDescent="0.25">
      <c r="A21" s="5" t="s">
        <v>62</v>
      </c>
      <c r="B21" s="1">
        <v>237999</v>
      </c>
    </row>
    <row r="22" spans="1:2" x14ac:dyDescent="0.25">
      <c r="A22" s="5" t="s">
        <v>4</v>
      </c>
      <c r="B22" s="1">
        <v>180895</v>
      </c>
    </row>
    <row r="23" spans="1:2" x14ac:dyDescent="0.25">
      <c r="A23" s="5" t="s">
        <v>100</v>
      </c>
      <c r="B23" s="1">
        <v>399635</v>
      </c>
    </row>
    <row r="24" spans="1:2" x14ac:dyDescent="0.25">
      <c r="A24" s="5" t="s">
        <v>11</v>
      </c>
      <c r="B24" s="1">
        <v>178989</v>
      </c>
    </row>
    <row r="25" spans="1:2" x14ac:dyDescent="0.25">
      <c r="A25" s="5" t="s">
        <v>19</v>
      </c>
      <c r="B25" s="1">
        <v>64001</v>
      </c>
    </row>
    <row r="26" spans="1:2" x14ac:dyDescent="0.25">
      <c r="A26" s="5" t="s">
        <v>82</v>
      </c>
      <c r="B26" s="1">
        <v>370534</v>
      </c>
    </row>
    <row r="27" spans="1:2" x14ac:dyDescent="0.25">
      <c r="A27" s="5" t="s">
        <v>13</v>
      </c>
      <c r="B27" s="1">
        <v>12128</v>
      </c>
    </row>
    <row r="28" spans="1:2" x14ac:dyDescent="0.25">
      <c r="A28" s="5" t="s">
        <v>28</v>
      </c>
      <c r="B28" s="1">
        <v>168850</v>
      </c>
    </row>
    <row r="29" spans="1:2" x14ac:dyDescent="0.25">
      <c r="A29" s="5" t="s">
        <v>116</v>
      </c>
      <c r="B29" s="1">
        <v>80135</v>
      </c>
    </row>
    <row r="30" spans="1:2" x14ac:dyDescent="0.25">
      <c r="A30" s="5" t="s">
        <v>50</v>
      </c>
      <c r="B30" s="1">
        <v>740205</v>
      </c>
    </row>
    <row r="31" spans="1:2" x14ac:dyDescent="0.25">
      <c r="A31" s="5" t="s">
        <v>31</v>
      </c>
      <c r="B31" s="1">
        <v>209212</v>
      </c>
    </row>
    <row r="32" spans="1:2" x14ac:dyDescent="0.25">
      <c r="A32" s="5" t="s">
        <v>24</v>
      </c>
      <c r="B32" s="1">
        <v>75740</v>
      </c>
    </row>
    <row r="33" spans="1:2" x14ac:dyDescent="0.25">
      <c r="A33" s="5" t="s">
        <v>196</v>
      </c>
      <c r="B33" s="1">
        <v>8299392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3FCFF-A5BC-48C4-BC80-B6704B85E211}">
  <sheetPr codeName="Sheet2"/>
  <dimension ref="A1:D14"/>
  <sheetViews>
    <sheetView workbookViewId="0">
      <selection activeCell="G5" sqref="G5"/>
    </sheetView>
  </sheetViews>
  <sheetFormatPr defaultRowHeight="15" x14ac:dyDescent="0.25"/>
  <cols>
    <col min="2" max="2" width="8" bestFit="1" customWidth="1"/>
    <col min="3" max="3" width="16.7109375" bestFit="1" customWidth="1"/>
    <col min="4" max="4" width="15.28515625" bestFit="1" customWidth="1"/>
  </cols>
  <sheetData>
    <row r="1" spans="1:4" x14ac:dyDescent="0.25">
      <c r="A1" s="2" t="s">
        <v>189</v>
      </c>
      <c r="B1" s="2" t="s">
        <v>190</v>
      </c>
      <c r="C1" s="2" t="s">
        <v>191</v>
      </c>
      <c r="D1" s="2" t="s">
        <v>192</v>
      </c>
    </row>
    <row r="2" spans="1:4" x14ac:dyDescent="0.25">
      <c r="A2">
        <v>0</v>
      </c>
      <c r="B2">
        <v>10000</v>
      </c>
      <c r="C2" t="str">
        <f t="shared" ref="C2:C12" si="0">A2/1000 &amp;"  to  " &amp;B2/1000</f>
        <v>0  to  10</v>
      </c>
      <c r="D2">
        <f>COUNTIFS(car_sales[sales],"&gt;="&amp;A2,car_sales[sales],"&lt;="&amp;B2)</f>
        <v>30</v>
      </c>
    </row>
    <row r="3" spans="1:4" x14ac:dyDescent="0.25">
      <c r="A3">
        <f>B2</f>
        <v>10000</v>
      </c>
      <c r="B3">
        <v>20000</v>
      </c>
      <c r="C3" t="str">
        <f t="shared" si="0"/>
        <v>10  to  20</v>
      </c>
      <c r="D3">
        <f>COUNTIFS(car_sales[sales],"&gt;="&amp;A3,car_sales[sales],"&lt;="&amp;B3)</f>
        <v>26</v>
      </c>
    </row>
    <row r="4" spans="1:4" x14ac:dyDescent="0.25">
      <c r="A4">
        <f t="shared" ref="A4:A12" si="1">B3</f>
        <v>20000</v>
      </c>
      <c r="B4">
        <v>30000</v>
      </c>
      <c r="C4" t="str">
        <f t="shared" si="0"/>
        <v>20  to  30</v>
      </c>
      <c r="D4">
        <f>COUNTIFS(car_sales[sales],"&gt;="&amp;A4,car_sales[sales],"&lt;="&amp;B4)</f>
        <v>21</v>
      </c>
    </row>
    <row r="5" spans="1:4" x14ac:dyDescent="0.25">
      <c r="A5">
        <f t="shared" si="1"/>
        <v>30000</v>
      </c>
      <c r="B5">
        <v>40000</v>
      </c>
      <c r="C5" t="str">
        <f t="shared" si="0"/>
        <v>30  to  40</v>
      </c>
      <c r="D5">
        <f>COUNTIFS(car_sales[sales],"&gt;="&amp;A5,car_sales[sales],"&lt;="&amp;B5)</f>
        <v>16</v>
      </c>
    </row>
    <row r="6" spans="1:4" x14ac:dyDescent="0.25">
      <c r="A6">
        <f t="shared" si="1"/>
        <v>40000</v>
      </c>
      <c r="B6">
        <v>50000</v>
      </c>
      <c r="C6" t="str">
        <f t="shared" si="0"/>
        <v>40  to  50</v>
      </c>
      <c r="D6">
        <f>COUNTIFS(car_sales[sales],"&gt;="&amp;A6,car_sales[sales],"&lt;="&amp;B6)</f>
        <v>9</v>
      </c>
    </row>
    <row r="7" spans="1:4" x14ac:dyDescent="0.25">
      <c r="A7">
        <f t="shared" si="1"/>
        <v>50000</v>
      </c>
      <c r="B7">
        <v>60000</v>
      </c>
      <c r="C7" t="str">
        <f t="shared" si="0"/>
        <v>50  to  60</v>
      </c>
      <c r="D7">
        <f>COUNTIFS(car_sales[sales],"&gt;="&amp;A7,car_sales[sales],"&lt;="&amp;B7)</f>
        <v>7</v>
      </c>
    </row>
    <row r="8" spans="1:4" x14ac:dyDescent="0.25">
      <c r="A8">
        <f t="shared" si="1"/>
        <v>60000</v>
      </c>
      <c r="B8">
        <v>70000</v>
      </c>
      <c r="C8" t="str">
        <f t="shared" si="0"/>
        <v>60  to  70</v>
      </c>
      <c r="D8">
        <f>COUNTIFS(car_sales[sales],"&gt;="&amp;A8,car_sales[sales],"&lt;="&amp;B8)</f>
        <v>8</v>
      </c>
    </row>
    <row r="9" spans="1:4" x14ac:dyDescent="0.25">
      <c r="A9">
        <f t="shared" si="1"/>
        <v>70000</v>
      </c>
      <c r="B9">
        <v>80000</v>
      </c>
      <c r="C9" t="str">
        <f t="shared" si="0"/>
        <v>70  to  80</v>
      </c>
      <c r="D9">
        <f>COUNTIFS(car_sales[sales],"&gt;="&amp;A9,car_sales[sales],"&lt;="&amp;B9)</f>
        <v>6</v>
      </c>
    </row>
    <row r="10" spans="1:4" x14ac:dyDescent="0.25">
      <c r="A10">
        <f t="shared" si="1"/>
        <v>80000</v>
      </c>
      <c r="B10">
        <v>90000</v>
      </c>
      <c r="C10" t="str">
        <f t="shared" si="0"/>
        <v>80  to  90</v>
      </c>
      <c r="D10">
        <f>COUNTIFS(car_sales[sales],"&gt;="&amp;A10,car_sales[sales],"&lt;="&amp;B10)</f>
        <v>9</v>
      </c>
    </row>
    <row r="11" spans="1:4" x14ac:dyDescent="0.25">
      <c r="A11">
        <f t="shared" si="1"/>
        <v>90000</v>
      </c>
      <c r="B11">
        <v>100000</v>
      </c>
      <c r="C11" t="str">
        <f t="shared" si="0"/>
        <v>90  to  100</v>
      </c>
      <c r="D11">
        <f>COUNTIFS(car_sales[sales],"&gt;="&amp;A11,car_sales[sales],"&lt;="&amp;B11)</f>
        <v>2</v>
      </c>
    </row>
    <row r="12" spans="1:4" x14ac:dyDescent="0.25">
      <c r="A12">
        <f t="shared" si="1"/>
        <v>100000</v>
      </c>
      <c r="B12">
        <v>1000000</v>
      </c>
      <c r="C12" t="str">
        <f t="shared" si="0"/>
        <v>100  to  1000</v>
      </c>
      <c r="D12">
        <f>COUNTIFS(car_sales[sales],"&gt;="&amp;A12,car_sales[sales],"&lt;="&amp;B12)</f>
        <v>21</v>
      </c>
    </row>
    <row r="13" spans="1:4" x14ac:dyDescent="0.25">
      <c r="C13" t="s">
        <v>193</v>
      </c>
      <c r="D13">
        <f>SUM(D2:D12)</f>
        <v>155</v>
      </c>
    </row>
    <row r="14" spans="1:4" x14ac:dyDescent="0.25">
      <c r="C14" t="s">
        <v>194</v>
      </c>
      <c r="D14" s="6">
        <f>SUM(car_sales[sales])</f>
        <v>8299392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56D24F-261E-4029-805F-BA9AA73491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info</vt:lpstr>
      <vt:lpstr>data</vt:lpstr>
      <vt:lpstr>Sheet3</vt:lpstr>
      <vt:lpstr>Sheet1</vt:lpstr>
      <vt:lpstr>Chart1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dagarwal</dc:creator>
  <cp:lastModifiedBy>dagarwal</cp:lastModifiedBy>
  <dcterms:created xsi:type="dcterms:W3CDTF">2020-05-14T14:56:41Z</dcterms:created>
  <dcterms:modified xsi:type="dcterms:W3CDTF">2020-05-17T16:52:34Z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d6814930-b428-4280-8bfa-2683e40db0a5</vt:lpwstr>
  </property>
</Properties>
</file>